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67aac5d86f1e418/Documents/"/>
    </mc:Choice>
  </mc:AlternateContent>
  <xr:revisionPtr revIDLastSave="57079" documentId="8_{A998F221-187F-49D1-8861-8257E23468E8}" xr6:coauthVersionLast="47" xr6:coauthVersionMax="47" xr10:uidLastSave="{C6408AA3-C96A-42AA-B465-E07EEB1825FD}"/>
  <bookViews>
    <workbookView xWindow="-98" yWindow="-98" windowWidth="21795" windowHeight="12975" firstSheet="1" activeTab="1" xr2:uid="{B64318D7-B678-4681-BA55-7A74F72E8863}"/>
  </bookViews>
  <sheets>
    <sheet name="Login" sheetId="1" state="veryHidden" r:id="rId1"/>
    <sheet name="Home" sheetId="2" r:id="rId2"/>
    <sheet name="Dashboard" sheetId="3" r:id="rId3"/>
    <sheet name="BOQ" sheetId="4" r:id="rId4"/>
    <sheet name="WIR Tracking" sheetId="5" r:id="rId5"/>
    <sheet name="Client IPC Creation" sheetId="6" r:id="rId6"/>
    <sheet name="Subcontractor IPC Creation" sheetId="16" r:id="rId7"/>
    <sheet name="Client IPC Tracking" sheetId="9" r:id="rId8"/>
    <sheet name="Subcontractor IPC Tracking" sheetId="10" r:id="rId9"/>
    <sheet name="Variation Tracking" sheetId="11" r:id="rId10"/>
    <sheet name="Project Documents Creation" sheetId="8" r:id="rId11"/>
    <sheet name="Risk Register" sheetId="12" r:id="rId12"/>
    <sheet name="Issue Log" sheetId="13" r:id="rId13"/>
    <sheet name="Quality Metrics" sheetId="14" r:id="rId14"/>
    <sheet name="Cost Metrics" sheetId="15" r:id="rId15"/>
    <sheet name="BOQ_Schedule_Mapping" sheetId="17" r:id="rId16"/>
    <sheet name="Users" sheetId="23" state="veryHidden" r:id="rId17"/>
    <sheet name="Print_IPC_Report" sheetId="24" r:id="rId18"/>
  </sheets>
  <functionGroups builtInGroupCount="19"/>
  <externalReferences>
    <externalReference r:id="rId19"/>
  </externalReferences>
  <definedNames>
    <definedName name="a">#REF!</definedName>
    <definedName name="BOQ_Desc">BOQ!$F:$F</definedName>
    <definedName name="BOQ_Item">BOQ!$C:$C</definedName>
    <definedName name="BOQ_Qty">BOQ!$H:$H</definedName>
    <definedName name="BOQ_Rate">BOQ!$I:$I</definedName>
    <definedName name="BOQ_Unit">BOQ!$G:$G</definedName>
    <definedName name="d">#REF!</definedName>
    <definedName name="DisciplineList">{"Civil","MEP","Architectural","Infrastructure"}</definedName>
    <definedName name="IPC_ContractAmt">#REF!</definedName>
    <definedName name="IPC_ContractQty">#REF!</definedName>
    <definedName name="IPC_ContractRate">#REF!</definedName>
    <definedName name="IPC_CurrData">#REF!</definedName>
    <definedName name="IPC_CurrPrice">#REF!</definedName>
    <definedName name="IPC_Desc">#REF!</definedName>
    <definedName name="IPC_Item">#REF!</definedName>
    <definedName name="IPC_PrevData">#REF!</definedName>
    <definedName name="IPC_PrevPrice">#REF!</definedName>
    <definedName name="IPC_TotData">#REF!</definedName>
    <definedName name="IPC_TotPrice">#REF!</definedName>
    <definedName name="IPC_Unit">#REF!</definedName>
    <definedName name="PAM">#REF!</definedName>
    <definedName name="_xlnm.Print_Area" localSheetId="3">BOQ!$A$1:$P$29</definedName>
    <definedName name="_xlnm.Print_Area" localSheetId="5">'Client IPC Creation'!$A$1:$S$25</definedName>
    <definedName name="_xlnm.Print_Area" localSheetId="7">'Client IPC Tracking'!$A$1:$Y$49</definedName>
    <definedName name="_xlnm.Print_Area" localSheetId="14">'Cost Metrics'!$A$1:$N$59</definedName>
    <definedName name="_xlnm.Print_Area" localSheetId="2">Dashboard!$A$1:$M$31</definedName>
    <definedName name="_xlnm.Print_Area" localSheetId="1">Home!$A$1:$K$27</definedName>
    <definedName name="_xlnm.Print_Area" localSheetId="12">'Issue Log'!$A$1:$N$75</definedName>
    <definedName name="_xlnm.Print_Area" localSheetId="17">Print_IPC_Report!$A$1:$N$42</definedName>
    <definedName name="_xlnm.Print_Area" localSheetId="10">'Project Documents Creation'!$A$1:$N$59</definedName>
    <definedName name="_xlnm.Print_Area" localSheetId="13">'Quality Metrics'!$A$1:$N$59</definedName>
    <definedName name="_xlnm.Print_Area" localSheetId="11">'Risk Register'!$A$1:$N$59</definedName>
    <definedName name="_xlnm.Print_Area" localSheetId="6">'Subcontractor IPC Creation'!$A$1:$N$59</definedName>
    <definedName name="_xlnm.Print_Area" localSheetId="8">'Subcontractor IPC Tracking'!$A$1:$N$59</definedName>
    <definedName name="_xlnm.Print_Area" localSheetId="9">'Variation Tracking'!$A$1:$N$64</definedName>
    <definedName name="_xlnm.Print_Area" localSheetId="4">'WIR Tracking'!$A$1:$S$59</definedName>
    <definedName name="_xlnm.Print_Titles" localSheetId="3">BOQ!$2:$4</definedName>
    <definedName name="_xlnm.Print_Titles" localSheetId="17">Print_IPC_Report!$1:$18</definedName>
    <definedName name="_xlnm.Print_Titles" localSheetId="4">'WIR Tracking'!$2:$4</definedName>
    <definedName name="RAM">#REF!</definedName>
    <definedName name="REDUCEDQUANTS">#REF!</definedName>
    <definedName name="T4_AmtCtr">'Client IPC Creation'!$H:$H</definedName>
    <definedName name="T4_CtrQty">'Client IPC Creation'!$F:$F</definedName>
    <definedName name="T4_CurrPct">'Client IPC Creation'!$N:$N</definedName>
    <definedName name="T4_CurrPrice">'Client IPC Creation'!$M:$M</definedName>
    <definedName name="T4_CurrQty">'Client IPC Creation'!$L:$L</definedName>
    <definedName name="T4_Desc">'Client IPC Creation'!$D:$D</definedName>
    <definedName name="T4_Item">'Client IPC Creation'!$C:$C</definedName>
    <definedName name="T4_PrevPct">'Client IPC Creation'!$K:$K</definedName>
    <definedName name="T4_PrevPrice">'Client IPC Creation'!$J:$J</definedName>
    <definedName name="T4_PrevQty">'Client IPC Creation'!$I:$I</definedName>
    <definedName name="T4_Rate">'Client IPC Creation'!$G:$G</definedName>
    <definedName name="T4_TotPct">'Client IPC Creation'!$Q:$Q</definedName>
    <definedName name="T4_TotPrice">'Client IPC Creation'!$P:$P</definedName>
    <definedName name="T4_TotQty">'Client IPC Creation'!$O:$O</definedName>
    <definedName name="T4_Unit">'Client IPC Creation'!$E:$E</definedName>
    <definedName name="T4_VO">'Client IPC Creation'!$S:$S</definedName>
    <definedName name="test">#REF!</definedName>
    <definedName name="Track_CreationDate">'Client IPC Tracking'!$G:$G</definedName>
    <definedName name="Track_CurrAmt">'Client IPC Tracking'!$L:$L</definedName>
    <definedName name="Track_CurrPct">'Client IPC Tracking'!$M:$M</definedName>
    <definedName name="Track_FilePath">'Client IPC Tracking'!$Y:$Y</definedName>
    <definedName name="Track_FinishDate">'Client IPC Tracking'!$F:$F</definedName>
    <definedName name="Track_IPC_No">'Client IPC Tracking'!$D:$D</definedName>
    <definedName name="Track_Link">'Client IPC Tracking'!$X:$X</definedName>
    <definedName name="Track_PrevAmt">'Client IPC Tracking'!$J:$J</definedName>
    <definedName name="Track_PrevPct">'Client IPC Tracking'!$K:$K</definedName>
    <definedName name="Track_StartDate">'Client IPC Tracking'!$E:$E</definedName>
    <definedName name="Track_TotAmt">'Client IPC Tracking'!$N:$N</definedName>
    <definedName name="Track_TotPct">'Client IPC Tracking'!$O:$O</definedName>
    <definedName name="volred">[1]a.PQ!$I$4</definedName>
    <definedName name="WIR_BOQ">'WIR Tracking'!$H:$H</definedName>
    <definedName name="WIR_Case">'WIR Tracking'!$P:$P</definedName>
    <definedName name="WIR_Company">'WIR Tracking'!$J:$J</definedName>
    <definedName name="WIR_CompType">'WIR Tracking'!$K:$K</definedName>
    <definedName name="WIR_Date">'WIR Tracking'!$F:$F</definedName>
    <definedName name="WIR_QS">'WIR Tracking'!$O:$O</definedName>
    <definedName name="WIR_Status">'WIR Tracking'!$R:$R</definedName>
    <definedName name="WIR_VO">'WIR Tracking'!$T:$T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9" l="1"/>
  <c r="T18" i="9"/>
  <c r="W18" i="9" a="1"/>
  <c r="W18" i="9" s="1"/>
  <c r="I17" i="9"/>
  <c r="T17" i="9"/>
  <c r="W17" i="9" a="1"/>
  <c r="W17" i="9" s="1"/>
  <c r="I16" i="9"/>
  <c r="T16" i="9"/>
  <c r="W16" i="9" a="1"/>
  <c r="W16" i="9" s="1"/>
  <c r="I15" i="9"/>
  <c r="W15" i="9" s="1" a="1"/>
  <c r="W15" i="9" s="1"/>
  <c r="T15" i="9"/>
  <c r="I14" i="9"/>
  <c r="W14" i="9" s="1" a="1"/>
  <c r="W14" i="9" s="1"/>
  <c r="T14" i="9"/>
  <c r="I13" i="9"/>
  <c r="W13" i="9" s="1" a="1"/>
  <c r="W13" i="9" s="1"/>
  <c r="T13" i="9"/>
  <c r="I12" i="9"/>
  <c r="T12" i="9"/>
  <c r="W12" i="9" a="1"/>
  <c r="W12" i="9" s="1"/>
  <c r="P11" i="9"/>
  <c r="I11" i="9"/>
  <c r="W11" i="9" s="1" a="1"/>
  <c r="W11" i="9" s="1"/>
  <c r="Q11" i="9"/>
  <c r="R11" i="9" s="1"/>
  <c r="T11" i="9"/>
  <c r="P26" i="24"/>
  <c r="Q8" i="6"/>
  <c r="P12" i="9" l="1"/>
  <c r="P13" i="9"/>
  <c r="Q13" i="9" s="1"/>
  <c r="R13" i="9" s="1"/>
  <c r="S13" i="9"/>
  <c r="U13" i="9" s="1"/>
  <c r="S11" i="9"/>
  <c r="U11" i="9" s="1"/>
  <c r="M14" i="24"/>
  <c r="M13" i="24"/>
  <c r="M11" i="24"/>
  <c r="M10" i="24"/>
  <c r="M9" i="24"/>
  <c r="M8" i="24"/>
  <c r="M7" i="24"/>
  <c r="M6" i="24"/>
  <c r="M5" i="24"/>
  <c r="M4" i="24"/>
  <c r="M3" i="24"/>
  <c r="M2" i="24"/>
  <c r="D4" i="24"/>
  <c r="B12" i="24"/>
  <c r="B8" i="24"/>
  <c r="B4" i="24"/>
  <c r="I13" i="11"/>
  <c r="H13" i="11"/>
  <c r="H13" i="2" s="1"/>
  <c r="H16" i="2" s="1"/>
  <c r="E15" i="2"/>
  <c r="Q12" i="9" l="1"/>
  <c r="R12" i="9" s="1"/>
  <c r="S12" i="9" s="1"/>
  <c r="U12" i="9" s="1"/>
  <c r="P14" i="9"/>
  <c r="Q14" i="9" s="1"/>
  <c r="R14" i="9" s="1"/>
  <c r="S14" i="9" s="1"/>
  <c r="U14" i="9" s="1"/>
  <c r="P15" i="9"/>
  <c r="Q15" i="9" s="1"/>
  <c r="R15" i="9" s="1"/>
  <c r="S15" i="9" s="1"/>
  <c r="U15" i="9" s="1"/>
  <c r="H14" i="2"/>
  <c r="H15" i="2" s="1"/>
  <c r="M12" i="24" s="1"/>
  <c r="P16" i="9" l="1"/>
  <c r="P17" i="9"/>
  <c r="Q17" i="9" s="1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M57" i="4" a="1"/>
  <c r="M57" i="4" s="1"/>
  <c r="M58" i="4" a="1"/>
  <c r="M58" i="4" s="1"/>
  <c r="N58" i="4" s="1"/>
  <c r="M59" i="4" a="1"/>
  <c r="M59" i="4" s="1"/>
  <c r="O59" i="4" s="1"/>
  <c r="M60" i="4" a="1"/>
  <c r="M60" i="4" s="1"/>
  <c r="N60" i="4" s="1"/>
  <c r="M61" i="4" a="1"/>
  <c r="M61" i="4" s="1"/>
  <c r="M62" i="4" a="1"/>
  <c r="M62" i="4" s="1"/>
  <c r="N62" i="4" s="1"/>
  <c r="M63" i="4" a="1"/>
  <c r="M63" i="4" s="1"/>
  <c r="N63" i="4" s="1"/>
  <c r="M64" i="4" a="1"/>
  <c r="M64" i="4" s="1"/>
  <c r="N64" i="4" s="1"/>
  <c r="M65" i="4" a="1"/>
  <c r="M65" i="4" s="1"/>
  <c r="N65" i="4" s="1"/>
  <c r="M66" i="4" a="1"/>
  <c r="M66" i="4" s="1"/>
  <c r="N66" i="4" s="1"/>
  <c r="M67" i="4" a="1"/>
  <c r="M67" i="4" s="1"/>
  <c r="O67" i="4" s="1"/>
  <c r="M68" i="4" a="1"/>
  <c r="M68" i="4" s="1"/>
  <c r="N68" i="4" s="1"/>
  <c r="M69" i="4" a="1"/>
  <c r="M69" i="4" s="1"/>
  <c r="N69" i="4" s="1"/>
  <c r="M70" i="4" a="1"/>
  <c r="M70" i="4" s="1"/>
  <c r="M71" i="4" a="1"/>
  <c r="M71" i="4" s="1"/>
  <c r="N71" i="4" s="1"/>
  <c r="M72" i="4" a="1"/>
  <c r="M72" i="4" s="1"/>
  <c r="N72" i="4" s="1"/>
  <c r="M73" i="4" a="1"/>
  <c r="M73" i="4" s="1"/>
  <c r="O73" i="4" s="1"/>
  <c r="M74" i="4" a="1"/>
  <c r="M74" i="4" s="1"/>
  <c r="O74" i="4" s="1"/>
  <c r="M75" i="4" a="1"/>
  <c r="M75" i="4" s="1"/>
  <c r="O75" i="4" s="1"/>
  <c r="M76" i="4" a="1"/>
  <c r="M76" i="4" s="1"/>
  <c r="N76" i="4" s="1"/>
  <c r="M77" i="4" a="1"/>
  <c r="M77" i="4" s="1"/>
  <c r="N77" i="4" s="1"/>
  <c r="M78" i="4" a="1"/>
  <c r="M78" i="4" s="1"/>
  <c r="N78" i="4" s="1"/>
  <c r="M79" i="4" a="1"/>
  <c r="M79" i="4" s="1"/>
  <c r="O79" i="4" s="1"/>
  <c r="M80" i="4" a="1"/>
  <c r="M80" i="4" s="1"/>
  <c r="N80" i="4" s="1"/>
  <c r="M81" i="4" a="1"/>
  <c r="M81" i="4" s="1"/>
  <c r="N81" i="4" s="1"/>
  <c r="M82" i="4" a="1"/>
  <c r="M82" i="4" s="1"/>
  <c r="O82" i="4" s="1"/>
  <c r="M83" i="4" a="1"/>
  <c r="M83" i="4" s="1"/>
  <c r="O83" i="4" s="1"/>
  <c r="M84" i="4" a="1"/>
  <c r="M84" i="4" s="1"/>
  <c r="M85" i="4" a="1"/>
  <c r="M85" i="4" s="1"/>
  <c r="M86" i="4" a="1"/>
  <c r="M86" i="4" s="1"/>
  <c r="N86" i="4" s="1"/>
  <c r="M87" i="4" a="1"/>
  <c r="M87" i="4" s="1"/>
  <c r="O87" i="4" s="1"/>
  <c r="Z9" i="5"/>
  <c r="Z8" i="5"/>
  <c r="Z7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E26" i="5"/>
  <c r="E27" i="5"/>
  <c r="E28" i="5"/>
  <c r="E29" i="5"/>
  <c r="E30" i="5"/>
  <c r="E24" i="5"/>
  <c r="E25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M88" i="4" a="1"/>
  <c r="M88" i="4" s="1"/>
  <c r="O88" i="4" s="1"/>
  <c r="M89" i="4" a="1"/>
  <c r="M89" i="4" s="1"/>
  <c r="O89" i="4" s="1"/>
  <c r="M90" i="4" a="1"/>
  <c r="M90" i="4" s="1"/>
  <c r="O90" i="4" s="1"/>
  <c r="M91" i="4" a="1"/>
  <c r="M91" i="4" s="1"/>
  <c r="O91" i="4" s="1"/>
  <c r="M92" i="4" a="1"/>
  <c r="M92" i="4" s="1"/>
  <c r="N92" i="4" s="1"/>
  <c r="M93" i="4" a="1"/>
  <c r="M93" i="4" s="1"/>
  <c r="N93" i="4" s="1"/>
  <c r="M53" i="4" a="1"/>
  <c r="M53" i="4" s="1"/>
  <c r="O53" i="4" s="1"/>
  <c r="M54" i="4" a="1"/>
  <c r="M54" i="4" s="1"/>
  <c r="O54" i="4" s="1"/>
  <c r="M55" i="4" a="1"/>
  <c r="M55" i="4" s="1"/>
  <c r="O55" i="4" s="1"/>
  <c r="M56" i="4" a="1"/>
  <c r="M56" i="4" s="1"/>
  <c r="O56" i="4" s="1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M52" i="4" a="1"/>
  <c r="M52" i="4" s="1"/>
  <c r="N52" i="4" s="1"/>
  <c r="P52" i="4" s="1"/>
  <c r="M51" i="4" a="1"/>
  <c r="M51" i="4" s="1"/>
  <c r="N51" i="4" s="1"/>
  <c r="P51" i="4" s="1"/>
  <c r="M50" i="4" a="1"/>
  <c r="M50" i="4" s="1"/>
  <c r="N50" i="4" s="1"/>
  <c r="P50" i="4" s="1"/>
  <c r="M49" i="4" a="1"/>
  <c r="M49" i="4" s="1"/>
  <c r="N49" i="4" s="1"/>
  <c r="P49" i="4" s="1"/>
  <c r="M48" i="4" a="1"/>
  <c r="M48" i="4" s="1"/>
  <c r="N48" i="4" s="1"/>
  <c r="P48" i="4" s="1"/>
  <c r="M47" i="4" a="1"/>
  <c r="M47" i="4" s="1"/>
  <c r="O47" i="4" s="1"/>
  <c r="M46" i="4" a="1"/>
  <c r="M46" i="4" s="1"/>
  <c r="N46" i="4" s="1"/>
  <c r="P46" i="4" s="1"/>
  <c r="M45" i="4" a="1"/>
  <c r="M45" i="4" s="1"/>
  <c r="O45" i="4" s="1"/>
  <c r="M44" i="4" a="1"/>
  <c r="M44" i="4" s="1"/>
  <c r="O44" i="4" s="1"/>
  <c r="M43" i="4" a="1"/>
  <c r="M43" i="4" s="1"/>
  <c r="O43" i="4" s="1"/>
  <c r="M42" i="4" a="1"/>
  <c r="M42" i="4" s="1"/>
  <c r="O42" i="4" s="1"/>
  <c r="M41" i="4" a="1"/>
  <c r="M41" i="4" s="1"/>
  <c r="O41" i="4" s="1"/>
  <c r="M40" i="4" a="1"/>
  <c r="M40" i="4" s="1"/>
  <c r="O40" i="4" s="1"/>
  <c r="M39" i="4" a="1"/>
  <c r="M39" i="4" s="1"/>
  <c r="O39" i="4" s="1"/>
  <c r="M38" i="4" a="1"/>
  <c r="M38" i="4" s="1"/>
  <c r="N38" i="4" s="1"/>
  <c r="P38" i="4" s="1"/>
  <c r="M37" i="4" a="1"/>
  <c r="M37" i="4" s="1"/>
  <c r="O37" i="4" s="1"/>
  <c r="M36" i="4" a="1"/>
  <c r="M36" i="4" s="1"/>
  <c r="N36" i="4" s="1"/>
  <c r="P36" i="4" s="1"/>
  <c r="M35" i="4" a="1"/>
  <c r="M35" i="4" s="1"/>
  <c r="N35" i="4" s="1"/>
  <c r="P35" i="4" s="1"/>
  <c r="M34" i="4" a="1"/>
  <c r="M34" i="4" s="1"/>
  <c r="N34" i="4" s="1"/>
  <c r="P34" i="4" s="1"/>
  <c r="M33" i="4" a="1"/>
  <c r="M33" i="4" s="1"/>
  <c r="N33" i="4" s="1"/>
  <c r="P33" i="4" s="1"/>
  <c r="M32" i="4" a="1"/>
  <c r="M32" i="4" s="1"/>
  <c r="N32" i="4" s="1"/>
  <c r="P32" i="4" s="1"/>
  <c r="M31" i="4" a="1"/>
  <c r="M31" i="4" s="1"/>
  <c r="O31" i="4" s="1"/>
  <c r="M30" i="4" a="1"/>
  <c r="M30" i="4" s="1"/>
  <c r="N30" i="4" s="1"/>
  <c r="P30" i="4" s="1"/>
  <c r="J29" i="4"/>
  <c r="M29" i="4" a="1"/>
  <c r="M29" i="4" s="1"/>
  <c r="O29" i="4" s="1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M7" i="4" a="1"/>
  <c r="M7" i="4" s="1"/>
  <c r="O7" i="4" s="1"/>
  <c r="M8" i="4" a="1"/>
  <c r="M8" i="4" s="1"/>
  <c r="O8" i="4" s="1"/>
  <c r="M9" i="4" a="1"/>
  <c r="M9" i="4" s="1"/>
  <c r="O9" i="4" s="1"/>
  <c r="M10" i="4" a="1"/>
  <c r="M10" i="4" s="1"/>
  <c r="O10" i="4" s="1"/>
  <c r="M11" i="4" a="1"/>
  <c r="M11" i="4" s="1"/>
  <c r="O11" i="4" s="1"/>
  <c r="M12" i="4" a="1"/>
  <c r="M12" i="4" s="1"/>
  <c r="O12" i="4" s="1"/>
  <c r="M13" i="4" a="1"/>
  <c r="M13" i="4" s="1"/>
  <c r="N13" i="4" s="1"/>
  <c r="P13" i="4" s="1"/>
  <c r="M14" i="4" a="1"/>
  <c r="M14" i="4" s="1"/>
  <c r="N14" i="4" s="1"/>
  <c r="P14" i="4" s="1"/>
  <c r="M15" i="4" a="1"/>
  <c r="M15" i="4" s="1"/>
  <c r="O15" i="4" s="1"/>
  <c r="M16" i="4" a="1"/>
  <c r="M16" i="4" s="1"/>
  <c r="N16" i="4" s="1"/>
  <c r="P16" i="4" s="1"/>
  <c r="M17" i="4" a="1"/>
  <c r="M17" i="4" s="1"/>
  <c r="N17" i="4" s="1"/>
  <c r="P17" i="4" s="1"/>
  <c r="M18" i="4" a="1"/>
  <c r="M18" i="4" s="1"/>
  <c r="N18" i="4" s="1"/>
  <c r="P18" i="4" s="1"/>
  <c r="M19" i="4" a="1"/>
  <c r="M19" i="4" s="1"/>
  <c r="O19" i="4" s="1"/>
  <c r="M20" i="4" a="1"/>
  <c r="M20" i="4" s="1"/>
  <c r="O20" i="4" s="1"/>
  <c r="M21" i="4" a="1"/>
  <c r="M21" i="4" s="1"/>
  <c r="O21" i="4" s="1"/>
  <c r="M22" i="4" a="1"/>
  <c r="M22" i="4" s="1"/>
  <c r="O22" i="4" s="1"/>
  <c r="M23" i="4" a="1"/>
  <c r="M23" i="4" s="1"/>
  <c r="O23" i="4" s="1"/>
  <c r="M24" i="4" a="1"/>
  <c r="M24" i="4" s="1"/>
  <c r="O24" i="4" s="1"/>
  <c r="M25" i="4" a="1"/>
  <c r="M25" i="4" s="1"/>
  <c r="O25" i="4" s="1"/>
  <c r="M26" i="4" a="1"/>
  <c r="M26" i="4" s="1"/>
  <c r="O26" i="4" s="1"/>
  <c r="M27" i="4" a="1"/>
  <c r="M27" i="4" s="1"/>
  <c r="O27" i="4" s="1"/>
  <c r="M28" i="4" a="1"/>
  <c r="M28" i="4" s="1"/>
  <c r="O28" i="4" s="1"/>
  <c r="R17" i="9" l="1"/>
  <c r="S17" i="9" s="1"/>
  <c r="U17" i="9" s="1"/>
  <c r="Q16" i="9"/>
  <c r="R16" i="9" s="1"/>
  <c r="S16" i="9" s="1"/>
  <c r="U16" i="9" s="1"/>
  <c r="P18" i="9"/>
  <c r="Q18" i="9" s="1"/>
  <c r="O85" i="4"/>
  <c r="N85" i="4"/>
  <c r="O70" i="4"/>
  <c r="N70" i="4"/>
  <c r="O84" i="4"/>
  <c r="N84" i="4"/>
  <c r="O61" i="4"/>
  <c r="N61" i="4"/>
  <c r="O57" i="4"/>
  <c r="N57" i="4"/>
  <c r="O51" i="4"/>
  <c r="N89" i="4"/>
  <c r="N73" i="4"/>
  <c r="N41" i="4"/>
  <c r="P41" i="4" s="1"/>
  <c r="N25" i="4"/>
  <c r="P25" i="4" s="1"/>
  <c r="N9" i="4"/>
  <c r="P9" i="4" s="1"/>
  <c r="O50" i="4"/>
  <c r="N88" i="4"/>
  <c r="N56" i="4"/>
  <c r="N40" i="4"/>
  <c r="P40" i="4" s="1"/>
  <c r="N24" i="4"/>
  <c r="P24" i="4" s="1"/>
  <c r="N8" i="4"/>
  <c r="P8" i="4" s="1"/>
  <c r="O46" i="4"/>
  <c r="N87" i="4"/>
  <c r="N55" i="4"/>
  <c r="N39" i="4"/>
  <c r="P39" i="4" s="1"/>
  <c r="N23" i="4"/>
  <c r="P23" i="4" s="1"/>
  <c r="O38" i="4"/>
  <c r="N54" i="4"/>
  <c r="N22" i="4"/>
  <c r="P22" i="4" s="1"/>
  <c r="O35" i="4"/>
  <c r="N53" i="4"/>
  <c r="N37" i="4"/>
  <c r="P37" i="4" s="1"/>
  <c r="N21" i="4"/>
  <c r="P21" i="4" s="1"/>
  <c r="O30" i="4"/>
  <c r="N20" i="4"/>
  <c r="P20" i="4" s="1"/>
  <c r="N83" i="4"/>
  <c r="N67" i="4"/>
  <c r="N19" i="4"/>
  <c r="P19" i="4" s="1"/>
  <c r="O93" i="4"/>
  <c r="N82" i="4"/>
  <c r="O92" i="4"/>
  <c r="O14" i="4"/>
  <c r="N79" i="4"/>
  <c r="N47" i="4"/>
  <c r="P47" i="4" s="1"/>
  <c r="N31" i="4"/>
  <c r="P31" i="4" s="1"/>
  <c r="N15" i="4"/>
  <c r="P15" i="4" s="1"/>
  <c r="O13" i="4"/>
  <c r="N45" i="4"/>
  <c r="P45" i="4" s="1"/>
  <c r="N29" i="4"/>
  <c r="P29" i="4" s="1"/>
  <c r="N44" i="4"/>
  <c r="P44" i="4" s="1"/>
  <c r="N28" i="4"/>
  <c r="P28" i="4" s="1"/>
  <c r="N12" i="4"/>
  <c r="P12" i="4" s="1"/>
  <c r="N91" i="4"/>
  <c r="N75" i="4"/>
  <c r="N59" i="4"/>
  <c r="N43" i="4"/>
  <c r="P43" i="4" s="1"/>
  <c r="N27" i="4"/>
  <c r="P27" i="4" s="1"/>
  <c r="N11" i="4"/>
  <c r="P11" i="4" s="1"/>
  <c r="N90" i="4"/>
  <c r="N74" i="4"/>
  <c r="N42" i="4"/>
  <c r="P42" i="4" s="1"/>
  <c r="N26" i="4"/>
  <c r="P26" i="4" s="1"/>
  <c r="N10" i="4"/>
  <c r="P10" i="4" s="1"/>
  <c r="O69" i="4"/>
  <c r="O68" i="4"/>
  <c r="O58" i="4"/>
  <c r="O77" i="4"/>
  <c r="O71" i="4"/>
  <c r="O63" i="4"/>
  <c r="O78" i="4"/>
  <c r="O86" i="4"/>
  <c r="O76" i="4"/>
  <c r="O62" i="4"/>
  <c r="O72" i="4"/>
  <c r="O60" i="4"/>
  <c r="O52" i="4"/>
  <c r="O81" i="4"/>
  <c r="O65" i="4"/>
  <c r="O49" i="4"/>
  <c r="O33" i="4"/>
  <c r="O17" i="4"/>
  <c r="O34" i="4"/>
  <c r="O80" i="4"/>
  <c r="O64" i="4"/>
  <c r="O48" i="4"/>
  <c r="O32" i="4"/>
  <c r="O16" i="4"/>
  <c r="O36" i="4"/>
  <c r="O66" i="4"/>
  <c r="O18" i="4"/>
  <c r="N7" i="4"/>
  <c r="P7" i="4" s="1"/>
  <c r="R18" i="9" l="1"/>
  <c r="S18" i="9"/>
  <c r="U18" i="9" s="1"/>
  <c r="J8" i="4"/>
  <c r="J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<sst xmlns="http://schemas.openxmlformats.org/spreadsheetml/2006/main" count="938" uniqueCount="392">
  <si>
    <t>PROJECT MANAGEMENT SYSTEM
Master Control Portal</t>
  </si>
  <si>
    <t>Project Name:</t>
  </si>
  <si>
    <t>Capital Tower 2026</t>
  </si>
  <si>
    <t>Project Manager:</t>
  </si>
  <si>
    <t>Eng. Mohamed Elkhabery</t>
  </si>
  <si>
    <t>Username:</t>
  </si>
  <si>
    <t>admin</t>
  </si>
  <si>
    <t>Password:</t>
  </si>
  <si>
    <t>LOG IN</t>
  </si>
  <si>
    <t>EXIT</t>
  </si>
  <si>
    <t>PROJECT OWNER
[ Owner Logo &amp; Name ]</t>
  </si>
  <si>
    <t>PROJECT: CAPITAL TOWER 2026
Project Manager: Eng. Mohamed Elkhabery</t>
  </si>
  <si>
    <t>CONSULTANT &amp; MAIN CONTRACTOR
[ Consultant / Contractor Logo ]</t>
  </si>
  <si>
    <t>Start Date</t>
  </si>
  <si>
    <t>4 VOs Approved</t>
  </si>
  <si>
    <t>Original Contract Value</t>
  </si>
  <si>
    <t>Advance Payment Received</t>
  </si>
  <si>
    <t>15,000,000 SAR</t>
  </si>
  <si>
    <t xml:space="preserve"> </t>
  </si>
  <si>
    <t>WBS Code / Activity ID</t>
  </si>
  <si>
    <t>Discipline / Trade</t>
  </si>
  <si>
    <t>Item Description</t>
  </si>
  <si>
    <t>Unit</t>
  </si>
  <si>
    <t>Contract Qty</t>
  </si>
  <si>
    <t>Contract Rate (SAR)</t>
  </si>
  <si>
    <t>Contract Amount (SAR)</t>
  </si>
  <si>
    <t>Cumulative Executed Qty</t>
  </si>
  <si>
    <t>Remaining Qty</t>
  </si>
  <si>
    <t>Executed Amount (SAR)</t>
  </si>
  <si>
    <t>% Financial Progress</t>
  </si>
  <si>
    <t>BOQ Item No</t>
  </si>
  <si>
    <t>Activity ID</t>
  </si>
  <si>
    <t>Activity Name</t>
  </si>
  <si>
    <t>Weight / Allocation %</t>
  </si>
  <si>
    <t>1.1.2</t>
  </si>
  <si>
    <t>ACT-1010</t>
  </si>
  <si>
    <t>Formwork for Footings</t>
  </si>
  <si>
    <t>$20\%$</t>
  </si>
  <si>
    <t>ACT-1020</t>
  </si>
  <si>
    <t>Steel Reinforcement</t>
  </si>
  <si>
    <t>$40\%$</t>
  </si>
  <si>
    <t>ACT-1030</t>
  </si>
  <si>
    <t>Concrete Pouring</t>
  </si>
  <si>
    <t>Infrastructure</t>
  </si>
  <si>
    <t>m3</t>
  </si>
  <si>
    <t>Ton</t>
  </si>
  <si>
    <t>No</t>
  </si>
  <si>
    <t>m</t>
  </si>
  <si>
    <t>NO</t>
  </si>
  <si>
    <t>FULL WIR No.</t>
  </si>
  <si>
    <t>DISCRIPTION</t>
  </si>
  <si>
    <t>SUB.DATE</t>
  </si>
  <si>
    <t>BOQ ITEM</t>
  </si>
  <si>
    <t>COMPANY</t>
  </si>
  <si>
    <t>QTY</t>
  </si>
  <si>
    <t>CASE</t>
  </si>
  <si>
    <t>QS</t>
  </si>
  <si>
    <t>UNIT</t>
  </si>
  <si>
    <t>Zone</t>
  </si>
  <si>
    <t>BOQ ITEM NO</t>
  </si>
  <si>
    <t>EXECUTED %</t>
  </si>
  <si>
    <t>10-601000-1100001342-MAG-SRV-WIR-000009</t>
  </si>
  <si>
    <t>C-BP-4</t>
  </si>
  <si>
    <t>10-601000-1100001342-MAG-SRV-WIR-000010</t>
  </si>
  <si>
    <t>C-TP-2</t>
  </si>
  <si>
    <t>OK</t>
  </si>
  <si>
    <t>HOLD</t>
  </si>
  <si>
    <t>CALCULATED IN WIR 214</t>
  </si>
  <si>
    <t>Discipline</t>
  </si>
  <si>
    <t>Consultant Status</t>
  </si>
  <si>
    <t>B - Approved as Noted</t>
  </si>
  <si>
    <t>C - Rejected</t>
  </si>
  <si>
    <t>Under Review</t>
  </si>
  <si>
    <t>A - Approved</t>
  </si>
  <si>
    <t>Civil</t>
  </si>
  <si>
    <t xml:space="preserve">  Amount after Advanced Payment Deduction For This Month</t>
  </si>
  <si>
    <t>VAT Amount  15% For This Month</t>
  </si>
  <si>
    <t xml:space="preserve">      Current amount including VAT 15%</t>
  </si>
  <si>
    <t xml:space="preserve">  NET Payable For This Month Including VAT 15%</t>
  </si>
  <si>
    <t>Item</t>
  </si>
  <si>
    <t>DESCRIPTION</t>
  </si>
  <si>
    <t>PRICE (S.R)</t>
  </si>
  <si>
    <t xml:space="preserve">Amount As Per Contract </t>
  </si>
  <si>
    <t>Previous Performed %</t>
  </si>
  <si>
    <t>Previous Performed Price</t>
  </si>
  <si>
    <t>Current  Performed Price</t>
  </si>
  <si>
    <t>Total Performed %</t>
  </si>
  <si>
    <t>Total Performed Price</t>
  </si>
  <si>
    <t>Notes</t>
  </si>
  <si>
    <t>Clearing and Grubbing</t>
  </si>
  <si>
    <t>m2</t>
  </si>
  <si>
    <t>Unclassified Excavation</t>
  </si>
  <si>
    <t>Embankment</t>
  </si>
  <si>
    <t>Structural Excavation - Culvert</t>
  </si>
  <si>
    <t>Engineered Fill above culvert</t>
  </si>
  <si>
    <t>Engineered Fill under culvert foundation (Provisional)</t>
  </si>
  <si>
    <t>Total Drilled Length</t>
  </si>
  <si>
    <t>Filling of Cavities with Grout or Lean Concrete (provisional)</t>
  </si>
  <si>
    <t xml:space="preserve">Total Drilled Length </t>
  </si>
  <si>
    <t>Reinforcing steel, Grade 60</t>
  </si>
  <si>
    <t>Structural Concrete for Box culverts, class D  (350/19)</t>
  </si>
  <si>
    <t>Concrete for Minor Structures, Class D (350/19), Wing walls and approach slab etc.)</t>
  </si>
  <si>
    <t>2 Coats of Bituminous Painting for Buried Surfaces in Contact with Soil</t>
  </si>
  <si>
    <t xml:space="preserve">Access Shaft 3500x2500 for storm drainage and utility tunnel average depth to tunnel top slap 5m </t>
  </si>
  <si>
    <t xml:space="preserve">Maintenance Shaft 3500x5000 for utility tunnel average depth to tunnel top slap 3m  </t>
  </si>
  <si>
    <t xml:space="preserve">Access Shaft 2500x2500 for storm drainage depth to tunnel top slap 3m </t>
  </si>
  <si>
    <t xml:space="preserve">Maintenance Shaft 2500x5000 for utility tunnel depth to 
tunnel top slap 
3m </t>
  </si>
  <si>
    <t>Mobilization</t>
  </si>
  <si>
    <t>Moving and setting up drilling rig at borehole locations as indicated on Drawings</t>
  </si>
  <si>
    <t>Nr</t>
  </si>
  <si>
    <t>Drilling in any material except rock</t>
  </si>
  <si>
    <t>Continuous coring through rock</t>
  </si>
  <si>
    <t>Standpipe piezometers</t>
  </si>
  <si>
    <t>In situ permeability Constant/falling head Test</t>
  </si>
  <si>
    <t>In situ permeability Packer Test</t>
  </si>
  <si>
    <t>Multi-channel analysis of surface waves (MASW)</t>
  </si>
  <si>
    <t>Sieve analysis (including natural moisture content)</t>
  </si>
  <si>
    <t>Mechanical analysis by sedimentation for materials (including natural moisture content)</t>
  </si>
  <si>
    <t>Dry and bulk densities of cemented and cohesive soil</t>
  </si>
  <si>
    <t>Plasticity indices</t>
  </si>
  <si>
    <t>Specific gravity</t>
  </si>
  <si>
    <t>Direct shear box tests on cohesionless soils</t>
  </si>
  <si>
    <t>Uniaxial compression tests on rock cores including bulk density and moisture content determination</t>
  </si>
  <si>
    <t>Uniaxial compression tests on rock cores, including bulk density, moisture content, modulus of elasticity and young's modulus determination</t>
  </si>
  <si>
    <t>Point load index of rock samples</t>
  </si>
  <si>
    <t>Sulphate Content</t>
  </si>
  <si>
    <t>Chloride Content</t>
  </si>
  <si>
    <t>PH Value</t>
  </si>
  <si>
    <t>Carbonate Content</t>
  </si>
  <si>
    <t>Full and complete interpretative report in accordance with the provisions and requirements of specifications</t>
  </si>
  <si>
    <t>Unclassified Excavation Up To 6m Depth</t>
  </si>
  <si>
    <t>Deep Excavation (Over 6m Depth)</t>
  </si>
  <si>
    <t>Embankment (Rock Fill Over 5m Depth)</t>
  </si>
  <si>
    <t>Soft Embankment (Revised From Original Contract)</t>
  </si>
  <si>
    <t>Soft Embankment (Additional Qty.)</t>
  </si>
  <si>
    <t>Fill (0-5m Depth)</t>
  </si>
  <si>
    <t>Fill (Over 5m Depth)</t>
  </si>
  <si>
    <t>Cut (0-6m Depth)</t>
  </si>
  <si>
    <t>Cut (Over 6m Depth)</t>
  </si>
  <si>
    <t>Soft Embankment</t>
  </si>
  <si>
    <t>Structural Excavation-Culverts</t>
  </si>
  <si>
    <t>Reinforcing Steel, Grade 60</t>
  </si>
  <si>
    <t xml:space="preserve">Structural Concrete for Box Culverts, Class D (350/19) </t>
  </si>
  <si>
    <t>2 Coats of Bituminous Painting For Buried Surfaces in contact with soil</t>
  </si>
  <si>
    <t>N-1</t>
  </si>
  <si>
    <t>Plain Concrete Filling Under Box Culvert</t>
  </si>
  <si>
    <t>Maintenance Shaft 3500x5000 for utility tunnel average depth to tunnel top slap 3m</t>
  </si>
  <si>
    <t>Access Shaft 2500x2500 for storm drainage depth to tunnel top slap 3m</t>
  </si>
  <si>
    <t>Maintenance Shaft 2500x5000 for utility tunnel depth to tunnel top slap 3m</t>
  </si>
  <si>
    <t>Access Shaft 2500x2500 for storm drainage &amp; Utility Tunnel Average depth Of 4m</t>
  </si>
  <si>
    <t>N-2</t>
  </si>
  <si>
    <t>3500X8000mm Maintenance Shaft For Utility Tunnel &amp; 2500X2500mm Access Shaft For Storm Drainage With Average Depth Of 11m</t>
  </si>
  <si>
    <t>N-3</t>
  </si>
  <si>
    <t>3500X8000mm Maintenance Shaft For Utility Tunnel &amp; 2500X2500mm Access Shaft For Storm Drainage With Average Depth Of 4m</t>
  </si>
  <si>
    <t>N-4</t>
  </si>
  <si>
    <t>3500X8000mm Maintenance Shaft For Utility Tunne With Average Depth Of 3.5m</t>
  </si>
  <si>
    <t>N-5</t>
  </si>
  <si>
    <t xml:space="preserve"> 2500x2500mm Access Shaft for storm drainage &amp; Utility Tunnel Average depth Of 7.5m</t>
  </si>
  <si>
    <t>N-6</t>
  </si>
  <si>
    <t xml:space="preserve"> 2500x2500mm Access Shaft for storm drainage &amp; Utility Tunnel Average depth Of 3.5m</t>
  </si>
  <si>
    <t>Unclassified Excavation Up To 6m Depth (E-Games Venue)</t>
  </si>
  <si>
    <t>Unclassified Excavation Up To 6m Depth (Laydown Area)</t>
  </si>
  <si>
    <t>Deep Excavation (Over 6m Depth) (E-Games Venue)</t>
  </si>
  <si>
    <t>IPC NO</t>
  </si>
  <si>
    <t>Finish Date</t>
  </si>
  <si>
    <t>Creation Date &amp; Time</t>
  </si>
  <si>
    <t>Hyberlink</t>
  </si>
  <si>
    <t>IPC #01</t>
  </si>
  <si>
    <t>Company</t>
  </si>
  <si>
    <t>Total Performed quantity</t>
  </si>
  <si>
    <t>Previous Performed Quantity</t>
  </si>
  <si>
    <t>Current Performed Quantity</t>
  </si>
  <si>
    <t>V.O No</t>
  </si>
  <si>
    <t>Type Of V.O</t>
  </si>
  <si>
    <t>Current Performed %</t>
  </si>
  <si>
    <t>Payment Calculation Type</t>
  </si>
  <si>
    <t>Addition</t>
  </si>
  <si>
    <t>Ommission</t>
  </si>
  <si>
    <t>V.O Status</t>
  </si>
  <si>
    <t>IPC No.</t>
  </si>
  <si>
    <t>Alajmi</t>
  </si>
  <si>
    <t>Company Type</t>
  </si>
  <si>
    <t>Main</t>
  </si>
  <si>
    <t>SubContractor</t>
  </si>
  <si>
    <t>Admin@2026</t>
  </si>
  <si>
    <t>Username</t>
  </si>
  <si>
    <t>Password</t>
  </si>
  <si>
    <t>Role</t>
  </si>
  <si>
    <t>FullName</t>
  </si>
  <si>
    <t>FirnsE757;</t>
  </si>
  <si>
    <t>Admin</t>
  </si>
  <si>
    <t>مدير النظام</t>
  </si>
  <si>
    <t>pm</t>
  </si>
  <si>
    <t>URE757;</t>
  </si>
  <si>
    <t>ProjectManager</t>
  </si>
  <si>
    <t>مدير المشروع</t>
  </si>
  <si>
    <t>eng</t>
  </si>
  <si>
    <t>JslE757;</t>
  </si>
  <si>
    <t>Engineer</t>
  </si>
  <si>
    <t>مهندس</t>
  </si>
  <si>
    <t>A-Geo</t>
  </si>
  <si>
    <t>B-Geo</t>
  </si>
  <si>
    <t>C-Geo</t>
  </si>
  <si>
    <t>D-Geo</t>
  </si>
  <si>
    <t>E-Geo</t>
  </si>
  <si>
    <t>F-Geo</t>
  </si>
  <si>
    <t>G-Geo</t>
  </si>
  <si>
    <t>A-Geo-Surv</t>
  </si>
  <si>
    <t>B-Geo-Surv</t>
  </si>
  <si>
    <t>C-Geo-Surv</t>
  </si>
  <si>
    <t>D-Geo-Surv</t>
  </si>
  <si>
    <t>E-Geo-Surv</t>
  </si>
  <si>
    <t>F-Geo-Surv</t>
  </si>
  <si>
    <t>F-Geo-Surv-Pro</t>
  </si>
  <si>
    <t>Unconfined compression tests on cohesive soils (Provisional)</t>
  </si>
  <si>
    <t>A-Lab</t>
  </si>
  <si>
    <t>B-Lab</t>
  </si>
  <si>
    <t>C-Lab</t>
  </si>
  <si>
    <t>D-Lab</t>
  </si>
  <si>
    <t>E-Lab</t>
  </si>
  <si>
    <t>F-Lab</t>
  </si>
  <si>
    <t>G-Lab</t>
  </si>
  <si>
    <t>Unconsolidated undrained triaxial compression tests on cohesive soils (Provisional)</t>
  </si>
  <si>
    <t>One dimensional consolidation tests on cohesive soils (Provisional)</t>
  </si>
  <si>
    <t>One dimensional swell or collapse potential tests on cohesive soils (provisional)</t>
  </si>
  <si>
    <t>A-Chem</t>
  </si>
  <si>
    <t>B-Chem</t>
  </si>
  <si>
    <t>C-Chem</t>
  </si>
  <si>
    <t>D-Chem</t>
  </si>
  <si>
    <t>G-Chem</t>
  </si>
  <si>
    <t>CO-00629-001</t>
  </si>
  <si>
    <t>CO-00629-002</t>
  </si>
  <si>
    <t>CO-00629-003</t>
  </si>
  <si>
    <t>CO-00629-004</t>
  </si>
  <si>
    <t>CO-00629-005</t>
  </si>
  <si>
    <t>1-E Gaming</t>
  </si>
  <si>
    <t>2-E Gaming</t>
  </si>
  <si>
    <t>3-E Gaming</t>
  </si>
  <si>
    <t>4-E Gaming</t>
  </si>
  <si>
    <t>N-1-Con</t>
  </si>
  <si>
    <t>previous</t>
  </si>
  <si>
    <t>current</t>
  </si>
  <si>
    <t>total</t>
  </si>
  <si>
    <t>20301-v</t>
  </si>
  <si>
    <t>20501-v</t>
  </si>
  <si>
    <t>20301-v2</t>
  </si>
  <si>
    <t>20501-v2</t>
  </si>
  <si>
    <t>2090101-v4</t>
  </si>
  <si>
    <t>2090103-v4</t>
  </si>
  <si>
    <t>2090105-v4</t>
  </si>
  <si>
    <t>50201-v4</t>
  </si>
  <si>
    <t>2090105-v4-1</t>
  </si>
  <si>
    <t>5030304-1</t>
  </si>
  <si>
    <t>5120201-1</t>
  </si>
  <si>
    <t>6030204-1</t>
  </si>
  <si>
    <t>6030205-1</t>
  </si>
  <si>
    <t>6030206-1</t>
  </si>
  <si>
    <t>6030207-1</t>
  </si>
  <si>
    <t>20101-1</t>
  </si>
  <si>
    <t>20301-1</t>
  </si>
  <si>
    <t>20501-1</t>
  </si>
  <si>
    <t>2090103-1</t>
  </si>
  <si>
    <t>2090105-1</t>
  </si>
  <si>
    <t>2090106-1</t>
  </si>
  <si>
    <t>10-601000-1100001342-MAG-SRV-WIR-000011</t>
  </si>
  <si>
    <t>10-601000-1100001342-MAG-SRV-WIR-000012</t>
  </si>
  <si>
    <t>10-601000-1100001342-MAG-SRV-WIR-000013</t>
  </si>
  <si>
    <t>10-601000-1100001342-MAG-SRV-WIR-000014</t>
  </si>
  <si>
    <t>10-601000-1100001342-MAG-SRV-WIR-000015</t>
  </si>
  <si>
    <t>10-601000-1100001342-MAG-SRV-WIR-000016</t>
  </si>
  <si>
    <t>10-601000-1100001342-MAG-SRV-WIR-000017</t>
  </si>
  <si>
    <t>10-601000-1100001342-MAG-SRV-WIR-000018</t>
  </si>
  <si>
    <t>10-601000-1100001342-MAG-SRV-WIR-000019</t>
  </si>
  <si>
    <t>10-601000-1100001342-MAG-SRV-WIR-000020</t>
  </si>
  <si>
    <t>10-601000-1100001342-MAG-SRV-WIR-000021</t>
  </si>
  <si>
    <t>10-601000-1100001342-MAG-SRV-WIR-000022</t>
  </si>
  <si>
    <t>10-601000-1100001342-MAG-SRV-WIR-000023</t>
  </si>
  <si>
    <t>10-601000-1100001342-MAG-SRV-WIR-000024</t>
  </si>
  <si>
    <t>10-601000-1100001342-MAG-SRV-WIR-000025</t>
  </si>
  <si>
    <t>Sub1</t>
  </si>
  <si>
    <t>Sub2</t>
  </si>
  <si>
    <t>Sub3</t>
  </si>
  <si>
    <t>Quantity As Per Contract</t>
  </si>
  <si>
    <t>Column1</t>
  </si>
  <si>
    <t>IPC NO2</t>
  </si>
  <si>
    <t>Start Date3</t>
  </si>
  <si>
    <t>Finish Date4</t>
  </si>
  <si>
    <t>Company5</t>
  </si>
  <si>
    <t>Total</t>
  </si>
  <si>
    <t>N/A</t>
  </si>
  <si>
    <t>Wir_Recording</t>
  </si>
  <si>
    <t>Payment Status</t>
  </si>
  <si>
    <t>Submittal Date</t>
  </si>
  <si>
    <t>Due Date</t>
  </si>
  <si>
    <t>Total Amount Up To Date</t>
  </si>
  <si>
    <t>Previous Amount</t>
  </si>
  <si>
    <t>Current Amount</t>
  </si>
  <si>
    <t>Advanced Payment Deduction</t>
  </si>
  <si>
    <t>Advanced Payment Amount</t>
  </si>
  <si>
    <t>% Monthly Deduction</t>
  </si>
  <si>
    <t>Payment Time Track</t>
  </si>
  <si>
    <t xml:space="preserve">Retention </t>
  </si>
  <si>
    <t xml:space="preserve"> Retention Deduction</t>
  </si>
  <si>
    <t>Contract Type</t>
  </si>
  <si>
    <t>MEP</t>
  </si>
  <si>
    <t>Architectural</t>
  </si>
  <si>
    <t>Kingdom Of Saudi Arabia</t>
  </si>
  <si>
    <t>Interim Payment Certificate # IPC #01 From 01-07-2023 To 30-07-2023</t>
  </si>
  <si>
    <t>Qty As Per Contract</t>
  </si>
  <si>
    <t>Amount As Per Contract</t>
  </si>
  <si>
    <t>Prev Price</t>
  </si>
  <si>
    <t>Curr Price</t>
  </si>
  <si>
    <t>Tot Price</t>
  </si>
  <si>
    <t>Total Page 1</t>
  </si>
  <si>
    <t>Unit Rate</t>
  </si>
  <si>
    <t>Project Name</t>
  </si>
  <si>
    <t>Project No</t>
  </si>
  <si>
    <t>Owner Name</t>
  </si>
  <si>
    <t>Consultant Name</t>
  </si>
  <si>
    <t>Contractor Name</t>
  </si>
  <si>
    <t>Project Duration</t>
  </si>
  <si>
    <t>Site Hand Over Date</t>
  </si>
  <si>
    <t>Performance Bond Validity</t>
  </si>
  <si>
    <t>CAR Policy Validity</t>
  </si>
  <si>
    <t>VAT Rate (%)</t>
  </si>
  <si>
    <t>Retention (%)</t>
  </si>
  <si>
    <t>Qiddiya Early Work PackageMass grading at Resort Core and City Center</t>
  </si>
  <si>
    <t>QPMO-410-CT-00629</t>
  </si>
  <si>
    <t xml:space="preserve"> Qiddiya Investment Company</t>
  </si>
  <si>
    <t>Dar Al·Handasah Consultants (Shair and Partners)</t>
  </si>
  <si>
    <t xml:space="preserve"> ABDUL ALI AL AJMI CO</t>
  </si>
  <si>
    <t>Original Completion Date</t>
  </si>
  <si>
    <t>Variation Ordrs</t>
  </si>
  <si>
    <t>Total Variations Value</t>
  </si>
  <si>
    <t>Total Variations Deuration</t>
  </si>
  <si>
    <t>Revised Contract Value</t>
  </si>
  <si>
    <t>Revised Comletion Date</t>
  </si>
  <si>
    <t>Advance Payment Deduction%</t>
  </si>
  <si>
    <t>Change Order No.</t>
  </si>
  <si>
    <t>Description</t>
  </si>
  <si>
    <t>Amount (SAR)</t>
  </si>
  <si>
    <t>Duration</t>
  </si>
  <si>
    <t>Type</t>
  </si>
  <si>
    <t>VAT Status</t>
  </si>
  <si>
    <t>Remarks</t>
  </si>
  <si>
    <t>Approval Date</t>
  </si>
  <si>
    <t>Exclusive</t>
  </si>
  <si>
    <t>Change Order CO-00629-001</t>
  </si>
  <si>
    <t>Change Order CO-00629-002</t>
  </si>
  <si>
    <t>Change Order CO-00629-003</t>
  </si>
  <si>
    <t>Change Order CO-00629-004</t>
  </si>
  <si>
    <t>Change Order CO-00629-005</t>
  </si>
  <si>
    <t>Mixed (Additio &amp; Omission)</t>
  </si>
  <si>
    <t>Sports Precinct Grading</t>
  </si>
  <si>
    <t>New Grading Plan</t>
  </si>
  <si>
    <t>Re-Alignment of Box Culvert</t>
  </si>
  <si>
    <t>E-Gaming Venue</t>
  </si>
  <si>
    <t xml:space="preserve"> Project  No: </t>
  </si>
  <si>
    <t xml:space="preserve">Original Project Value in SAR </t>
  </si>
  <si>
    <t>Site Hand Over Date:</t>
  </si>
  <si>
    <t>Completion Date :-</t>
  </si>
  <si>
    <t>Performance Bond Validation Date :-</t>
  </si>
  <si>
    <t>CAR Policy Validation Date :-</t>
  </si>
  <si>
    <t>Interim Payment Submission Date :-</t>
  </si>
  <si>
    <t xml:space="preserve">    Owner : y</t>
  </si>
  <si>
    <t xml:space="preserve">Consultant : 
</t>
  </si>
  <si>
    <t>Contractor:</t>
  </si>
  <si>
    <t xml:space="preserve">Change Order (CO-00000-001) : </t>
  </si>
  <si>
    <t>Change Order (CO-00000-002) :</t>
  </si>
  <si>
    <t>Change Order (CO-00000-004) :</t>
  </si>
  <si>
    <t>Change Order (CO-00000-005) :</t>
  </si>
  <si>
    <t xml:space="preserve">Change Order (CO-00000-003) : </t>
  </si>
  <si>
    <t xml:space="preserve">Project Duration  Calendar Days </t>
  </si>
  <si>
    <t>Revised Project Value</t>
  </si>
  <si>
    <t>Category</t>
  </si>
  <si>
    <t>Grand Total</t>
  </si>
  <si>
    <t>CIVIL</t>
  </si>
  <si>
    <t>INFRASTRUCTURE</t>
  </si>
  <si>
    <t>Prev Qty</t>
  </si>
  <si>
    <t>Curr Qty</t>
  </si>
  <si>
    <t>Tot Qty</t>
  </si>
  <si>
    <t>Previous %</t>
  </si>
  <si>
    <t>Current %</t>
  </si>
  <si>
    <t>Total %</t>
  </si>
  <si>
    <t>lx</t>
  </si>
  <si>
    <t>FilePath</t>
  </si>
  <si>
    <t>F:\New folder (2)\IPC #01_All_2026-08-06.pdf</t>
  </si>
  <si>
    <t>IPC 01</t>
  </si>
  <si>
    <t>IPC 02</t>
  </si>
  <si>
    <t>IPC 03</t>
  </si>
  <si>
    <t>?? PROJECT MANAGEMENT SYSTEM</t>
  </si>
  <si>
    <t>Main Control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</si>
</sst>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yy;@"/>
    <numFmt numFmtId="165" formatCode="#,##0.00&quot; SAR&quot;"/>
    <numFmt numFmtId="166" formatCode="#,##0&quot; DAYS&quot;"/>
    <numFmt numFmtId="167" formatCode="dd\-mm\-yyyy"/>
    <numFmt numFmtId="168" formatCode="dd\-mm\-yyyy\ hh:mm:ss"/>
  </numFmts>
  <fonts count="30">
    <font>
      <sz val="11"/>
      <color theme="1"/>
      <name val="Calibri"/>
      <family val="2"/>
      <scheme val="minor"/>
    </font>
    <font>
      <b/>
      <sz val="20"/>
      <color rgb="FFFFFFFF"/>
      <name val="Segoe UI"/>
      <family val="2"/>
    </font>
    <font>
      <b/>
      <sz val="12"/>
      <color rgb="FFE2E8F0"/>
      <name val="Segoe UI"/>
      <family val="2"/>
    </font>
    <font>
      <b/>
      <sz val="13"/>
      <color rgb="FF0F172A"/>
      <name val="Segoe UI"/>
      <family val="2"/>
    </font>
    <font>
      <b/>
      <sz val="13"/>
      <color rgb="FFFFFFFF"/>
      <name val="Segoe UI"/>
      <family val="2"/>
    </font>
    <font>
      <b/>
      <sz val="11"/>
      <color rgb="FFFFFFFF"/>
      <name val="Segoe UI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b/>
      <sz val="11"/>
      <color rgb="FF0070C0"/>
      <name val="Calibri"/>
      <family val="2"/>
      <scheme val="minor"/>
    </font>
    <font>
      <b/>
      <sz val="11"/>
      <color theme="5"/>
      <name val="Segoe UI"/>
      <family val="2"/>
    </font>
    <font>
      <sz val="11"/>
      <color theme="5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1"/>
      <name val="Calibri"/>
      <family val="2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rgb="FF003264"/>
      <name val="Calibri"/>
      <family val="2"/>
      <scheme val="minor"/>
    </font>
    <font>
      <sz val="14"/>
      <color rgb="FF646464"/>
      <name val="Calibri"/>
      <family val="2"/>
      <scheme val="minor"/>
    </font>
    <font>
      <b/>
      <sz val="24"/>
      <color rgb="FFFFFFFF"/>
      <name val="Calibri"/>
      <family val="2"/>
      <scheme val="minor"/>
    </font>
    <font>
      <sz val="14"/>
      <color rgb="FFB4B4B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F172A"/>
      </patternFill>
    </fill>
    <fill>
      <patternFill patternType="solid">
        <fgColor rgb="FF1E293B"/>
      </patternFill>
    </fill>
    <fill>
      <patternFill patternType="solid">
        <fgColor rgb="FFFFFFFF"/>
      </patternFill>
    </fill>
    <fill>
      <patternFill patternType="solid">
        <fgColor rgb="FF059669"/>
      </patternFill>
    </fill>
    <fill>
      <patternFill patternType="solid">
        <fgColor rgb="FF475569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CE6F1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8E1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8E6F1"/>
        <bgColor indexed="64"/>
      </patternFill>
    </fill>
    <fill>
      <patternFill patternType="solid">
        <fgColor rgb="FFF5F5F5"/>
        <bgColor indexed="64"/>
      </patternFill>
    </fill>
  </fills>
  <borders count="14">
    <border>
      <left/>
      <right/>
      <top/>
      <bottom/>
      <diagonal/>
    </border>
    <border>
      <left style="medium">
        <color rgb="FF059669"/>
      </left>
      <right style="medium">
        <color rgb="FF059669"/>
      </right>
      <top style="medium">
        <color rgb="FF059669"/>
      </top>
      <bottom style="medium">
        <color rgb="FF059669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5" fillId="0" borderId="0"/>
    <xf numFmtId="0" fontId="18" fillId="0" borderId="0"/>
    <xf numFmtId="0" fontId="19" fillId="0" borderId="0"/>
    <xf numFmtId="0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24" fillId="0" borderId="0" applyNumberFormat="0" applyFill="0" applyBorder="0" applyAlignment="0" applyProtection="0"/>
  </cellStyleXfs>
  <cellXfs count="149">
    <xf numFmtId="0" fontId="0" fillId="0" borderId="0" xfId="0"/>
    <xf numFmtId="0" fontId="0" fillId="3" borderId="0" xfId="0" applyFill="1"/>
    <xf numFmtId="0" fontId="2" fillId="3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/>
    <xf numFmtId="0" fontId="0" fillId="2" borderId="0" xfId="0" applyFill="1"/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10" fontId="8" fillId="0" borderId="0" xfId="2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43" fontId="8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5" fillId="7" borderId="0" xfId="0" applyFont="1" applyFill="1" applyAlignment="1">
      <alignment vertical="center" wrapText="1"/>
    </xf>
    <xf numFmtId="0" fontId="14" fillId="7" borderId="0" xfId="0" applyFont="1" applyFill="1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2" fillId="10" borderId="0" xfId="0" applyFont="1" applyFill="1" applyAlignment="1">
      <alignment horizontal="center" vertical="center" wrapText="1"/>
    </xf>
    <xf numFmtId="0" fontId="12" fillId="11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4" fillId="0" borderId="0" xfId="10" applyFill="1"/>
    <xf numFmtId="0" fontId="8" fillId="0" borderId="0" xfId="0" applyFont="1" applyAlignment="1">
      <alignment wrapText="1"/>
    </xf>
    <xf numFmtId="0" fontId="8" fillId="0" borderId="0" xfId="0" applyFont="1" applyAlignment="1">
      <alignment vertical="center" wrapText="1"/>
    </xf>
    <xf numFmtId="10" fontId="0" fillId="0" borderId="0" xfId="0" applyNumberFormat="1"/>
    <xf numFmtId="0" fontId="23" fillId="9" borderId="8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10" fontId="8" fillId="14" borderId="0" xfId="0" applyNumberFormat="1" applyFont="1" applyFill="1" applyAlignment="1">
      <alignment horizontal="center" vertical="center"/>
    </xf>
    <xf numFmtId="0" fontId="0" fillId="12" borderId="7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17" fillId="12" borderId="11" xfId="0" applyFont="1" applyFill="1" applyBorder="1" applyAlignment="1">
      <alignment horizontal="center" vertical="center" wrapText="1"/>
    </xf>
    <xf numFmtId="14" fontId="0" fillId="12" borderId="11" xfId="0" applyNumberFormat="1" applyFill="1" applyBorder="1" applyAlignment="1">
      <alignment horizontal="center" vertical="center" wrapText="1"/>
    </xf>
    <xf numFmtId="10" fontId="0" fillId="12" borderId="11" xfId="2" applyNumberFormat="1" applyFont="1" applyFill="1" applyBorder="1" applyAlignment="1">
      <alignment horizontal="center" vertical="center" wrapText="1"/>
    </xf>
    <xf numFmtId="0" fontId="0" fillId="13" borderId="12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17" fillId="13" borderId="10" xfId="0" applyFont="1" applyFill="1" applyBorder="1" applyAlignment="1">
      <alignment horizontal="center" vertical="center" wrapText="1"/>
    </xf>
    <xf numFmtId="14" fontId="0" fillId="13" borderId="10" xfId="0" applyNumberFormat="1" applyFill="1" applyBorder="1" applyAlignment="1">
      <alignment horizontal="center" vertical="center" wrapText="1"/>
    </xf>
    <xf numFmtId="10" fontId="0" fillId="13" borderId="10" xfId="2" applyNumberFormat="1" applyFont="1" applyFill="1" applyBorder="1" applyAlignment="1">
      <alignment horizontal="center" vertical="center" wrapText="1"/>
    </xf>
    <xf numFmtId="0" fontId="0" fillId="12" borderId="12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17" fillId="12" borderId="10" xfId="0" applyFont="1" applyFill="1" applyBorder="1" applyAlignment="1">
      <alignment horizontal="center" vertical="center" wrapText="1"/>
    </xf>
    <xf numFmtId="14" fontId="0" fillId="12" borderId="10" xfId="0" applyNumberFormat="1" applyFill="1" applyBorder="1" applyAlignment="1">
      <alignment horizontal="center" vertical="center" wrapText="1"/>
    </xf>
    <xf numFmtId="10" fontId="0" fillId="12" borderId="10" xfId="2" applyNumberFormat="1" applyFont="1" applyFill="1" applyBorder="1" applyAlignment="1">
      <alignment horizontal="center" vertical="center" wrapText="1"/>
    </xf>
    <xf numFmtId="0" fontId="16" fillId="8" borderId="13" xfId="3" applyFont="1" applyFill="1" applyBorder="1" applyAlignment="1">
      <alignment horizontal="center" vertical="center" wrapText="1"/>
    </xf>
    <xf numFmtId="0" fontId="16" fillId="8" borderId="6" xfId="3" applyFont="1" applyFill="1" applyBorder="1" applyAlignment="1">
      <alignment horizontal="center" vertical="center" wrapText="1"/>
    </xf>
    <xf numFmtId="9" fontId="16" fillId="8" borderId="6" xfId="2" applyFont="1" applyFill="1" applyBorder="1" applyAlignment="1">
      <alignment horizontal="center" vertical="center" wrapText="1"/>
    </xf>
    <xf numFmtId="0" fontId="16" fillId="8" borderId="5" xfId="3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" fontId="8" fillId="14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43" fontId="22" fillId="0" borderId="0" xfId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8" fillId="0" borderId="0" xfId="0" applyFont="1"/>
    <xf numFmtId="0" fontId="8" fillId="15" borderId="0" xfId="0" applyFont="1" applyFill="1"/>
    <xf numFmtId="4" fontId="0" fillId="0" borderId="0" xfId="0" applyNumberFormat="1"/>
    <xf numFmtId="4" fontId="8" fillId="0" borderId="0" xfId="0" applyNumberFormat="1" applyFont="1"/>
    <xf numFmtId="0" fontId="0" fillId="0" borderId="0" xfId="0" applyAlignment="1">
      <alignment wrapText="1"/>
    </xf>
    <xf numFmtId="4" fontId="0" fillId="0" borderId="0" xfId="0" applyNumberFormat="1" applyAlignment="1">
      <alignment wrapTex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8" fillId="16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" fontId="8" fillId="16" borderId="3" xfId="0" applyNumberFormat="1" applyFont="1" applyFill="1" applyBorder="1" applyAlignment="1">
      <alignment horizontal="center" vertical="center" wrapText="1"/>
    </xf>
    <xf numFmtId="4" fontId="23" fillId="0" borderId="0" xfId="0" applyNumberFormat="1" applyFont="1" applyAlignment="1">
      <alignment horizontal="centerContinuous"/>
    </xf>
    <xf numFmtId="0" fontId="8" fillId="16" borderId="4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right" wrapText="1"/>
    </xf>
    <xf numFmtId="4" fontId="8" fillId="15" borderId="3" xfId="0" applyNumberFormat="1" applyFont="1" applyFill="1" applyBorder="1" applyAlignment="1">
      <alignment horizontal="right" wrapText="1"/>
    </xf>
    <xf numFmtId="0" fontId="8" fillId="18" borderId="3" xfId="0" applyFont="1" applyFill="1" applyBorder="1" applyAlignment="1">
      <alignment horizontal="right" vertical="center" wrapText="1"/>
    </xf>
    <xf numFmtId="0" fontId="8" fillId="18" borderId="3" xfId="0" applyFont="1" applyFill="1" applyBorder="1" applyAlignment="1">
      <alignment horizontal="right" wrapText="1"/>
    </xf>
    <xf numFmtId="4" fontId="8" fillId="18" borderId="3" xfId="0" applyNumberFormat="1" applyFont="1" applyFill="1" applyBorder="1" applyAlignment="1">
      <alignment horizontal="right" wrapText="1"/>
    </xf>
    <xf numFmtId="0" fontId="8" fillId="18" borderId="0" xfId="0" applyFont="1" applyFill="1"/>
    <xf numFmtId="4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Continuous" vertical="center"/>
    </xf>
    <xf numFmtId="166" fontId="8" fillId="0" borderId="0" xfId="0" applyNumberFormat="1" applyFont="1" applyAlignment="1">
      <alignment horizontal="centerContinuous" vertical="center"/>
    </xf>
    <xf numFmtId="4" fontId="8" fillId="0" borderId="0" xfId="0" applyNumberFormat="1" applyFont="1" applyAlignment="1">
      <alignment horizontal="centerContinuous"/>
    </xf>
    <xf numFmtId="165" fontId="8" fillId="0" borderId="0" xfId="0" applyNumberFormat="1" applyFont="1" applyAlignment="1">
      <alignment horizontal="centerContinuous" vertical="center"/>
    </xf>
    <xf numFmtId="4" fontId="8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Continuous" vertical="center"/>
    </xf>
    <xf numFmtId="0" fontId="25" fillId="9" borderId="9" xfId="0" applyFont="1" applyFill="1" applyBorder="1" applyAlignment="1">
      <alignment horizontal="center" vertical="center" wrapText="1"/>
    </xf>
    <xf numFmtId="0" fontId="25" fillId="9" borderId="0" xfId="0" applyFont="1" applyFill="1" applyAlignment="1">
      <alignment horizontal="center" vertical="center" wrapText="1"/>
    </xf>
    <xf numFmtId="0" fontId="24" fillId="0" borderId="0" xfId="10"/>
    <xf numFmtId="9" fontId="0" fillId="0" borderId="0" xfId="2" applyFont="1"/>
    <xf numFmtId="10" fontId="0" fillId="0" borderId="0" xfId="2" applyNumberFormat="1" applyFont="1"/>
    <xf numFmtId="10" fontId="7" fillId="0" borderId="0" xfId="2" applyNumberFormat="1" applyFont="1" applyFill="1" applyBorder="1"/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4" fontId="8" fillId="0" borderId="0" xfId="0" applyNumberFormat="1" applyFont="1" applyAlignment="1">
      <alignment horizontal="center" vertical="center" wrapText="1"/>
    </xf>
    <xf numFmtId="43" fontId="0" fillId="0" borderId="0" xfId="0" applyNumberFormat="1" applyAlignment="1">
      <alignment horizontal="center" vertical="center"/>
    </xf>
    <xf numFmtId="43" fontId="8" fillId="0" borderId="0" xfId="1" applyFont="1" applyFill="1" applyAlignment="1">
      <alignment horizontal="center" vertical="center" wrapText="1"/>
    </xf>
    <xf numFmtId="0" fontId="0" fillId="19" borderId="0" xfId="0" applyFill="1"/>
    <xf numFmtId="0" fontId="26" fillId="19" borderId="0" xfId="0" applyFont="1" applyFill="1"/>
    <xf numFmtId="0" fontId="27" fillId="19" borderId="0" xfId="0" applyFont="1" applyFill="1"/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4" fontId="0" fillId="0" borderId="3" xfId="0" applyNumberFormat="1" applyBorder="1" applyAlignment="1">
      <alignment horizontal="right" vertical="center" wrapText="1"/>
    </xf>
    <xf numFmtId="4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center" wrapText="1"/>
    </xf>
    <xf numFmtId="4" fontId="0" fillId="0" borderId="3" xfId="0" applyNumberFormat="1" applyBorder="1" applyAlignment="1">
      <alignment horizontal="right" wrapText="1"/>
    </xf>
    <xf numFmtId="0" fontId="0" fillId="0" borderId="3" xfId="0" applyBorder="1" applyAlignment="1">
      <alignment horizontal="right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wrapText="1"/>
    </xf>
    <xf numFmtId="4" fontId="0" fillId="0" borderId="0" xfId="0" applyNumberFormat="1" applyAlignment="1">
      <alignment horizontal="right" wrapText="1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right" wrapText="1"/>
    </xf>
    <xf numFmtId="4" fontId="8" fillId="0" borderId="0" xfId="0" applyNumberFormat="1" applyFont="1" applyAlignment="1">
      <alignment horizontal="right" wrapText="1"/>
    </xf>
    <xf numFmtId="4" fontId="8" fillId="0" borderId="0" xfId="0" applyNumberFormat="1" applyFont="1" applyAlignment="1">
      <alignment horizontal="right" vertical="center" wrapText="1"/>
    </xf>
    <xf numFmtId="4" fontId="8" fillId="0" borderId="0" xfId="0" applyNumberFormat="1" applyFont="1" applyAlignment="1">
      <alignment vertical="center" wrapText="1"/>
    </xf>
    <xf numFmtId="4" fontId="8" fillId="0" borderId="0" xfId="0" applyNumberFormat="1" applyFont="1" applyAlignment="1">
      <alignment wrapText="1"/>
    </xf>
    <xf numFmtId="4" fontId="8" fillId="0" borderId="0" xfId="0" applyNumberFormat="1" applyFont="1" applyAlignment="1">
      <alignment horizontal="left" wrapText="1"/>
    </xf>
    <xf numFmtId="0" fontId="28" fillId="0" borderId="0" xfId="0" applyFont="1"/>
    <xf numFmtId="0" fontId="29" fillId="0" borderId="0" xfId="0" applyFont="1"/>
    <xf numFmtId="9" fontId="0" fillId="0" borderId="0" xfId="2" applyFont="1" applyFill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0" fillId="5" borderId="2" xfId="0" applyFill="1" applyBorder="1"/>
    <xf numFmtId="0" fontId="4" fillId="6" borderId="2" xfId="0" applyFont="1" applyFill="1" applyBorder="1" applyAlignment="1">
      <alignment horizontal="center" vertical="center"/>
    </xf>
    <xf numFmtId="0" fontId="0" fillId="6" borderId="2" xfId="0" applyFill="1" applyBorder="1"/>
    <xf numFmtId="0" fontId="1" fillId="2" borderId="0" xfId="0" applyFont="1" applyFill="1" applyAlignment="1">
      <alignment horizontal="center" vertical="center" wrapText="1"/>
    </xf>
    <xf numFmtId="0" fontId="0" fillId="2" borderId="0" xfId="0" applyFill="1"/>
    <xf numFmtId="0" fontId="13" fillId="7" borderId="0" xfId="0" applyFont="1" applyFill="1" applyAlignment="1">
      <alignment horizontal="center" vertical="center" wrapText="1"/>
    </xf>
    <xf numFmtId="0" fontId="14" fillId="7" borderId="0" xfId="0" applyFont="1" applyFill="1"/>
    <xf numFmtId="0" fontId="5" fillId="2" borderId="0" xfId="0" applyFont="1" applyFill="1" applyAlignment="1">
      <alignment horizontal="center" vertical="center" wrapText="1"/>
    </xf>
    <xf numFmtId="10" fontId="5" fillId="2" borderId="0" xfId="0" applyNumberFormat="1" applyFont="1" applyFill="1" applyAlignment="1">
      <alignment horizontal="center" vertical="center" wrapText="1"/>
    </xf>
    <xf numFmtId="4" fontId="0" fillId="2" borderId="0" xfId="0" applyNumberFormat="1" applyFill="1"/>
    <xf numFmtId="10" fontId="0" fillId="2" borderId="0" xfId="0" applyNumberFormat="1" applyFill="1"/>
    <xf numFmtId="0" fontId="22" fillId="0" borderId="0" xfId="0" applyFont="1" applyAlignment="1">
      <alignment horizontal="center" vertical="center"/>
    </xf>
    <xf numFmtId="167" fontId="0" fillId="2" borderId="0" xfId="0" applyNumberFormat="1" applyFill="1"/>
    <xf numFmtId="167" fontId="5" fillId="2" borderId="0" xfId="0" applyNumberFormat="1" applyFont="1" applyFill="1" applyAlignment="1">
      <alignment horizontal="center" vertical="center" wrapText="1"/>
    </xf>
    <xf numFmtId="168" fontId="0" fillId="2" borderId="0" xfId="0" applyNumberFormat="1" applyFill="1"/>
    <xf numFmtId="168" fontId="5" fillId="2" borderId="0" xfId="0" applyNumberFormat="1" applyFont="1" applyFill="1" applyAlignment="1">
      <alignment horizontal="center" vertical="center" wrapText="1"/>
    </xf>
    <xf numFmtId="0" fontId="23" fillId="15" borderId="0" xfId="0" applyFont="1" applyFill="1" applyAlignment="1">
      <alignment horizontal="center" wrapText="1"/>
    </xf>
    <xf numFmtId="0" fontId="8" fillId="17" borderId="3" xfId="0" applyFont="1" applyFill="1" applyBorder="1" applyAlignment="1">
      <alignment horizontal="left" vertical="center" wrapText="1"/>
    </xf>
  </cellXfs>
  <cellStyles count="11">
    <cellStyle name="Comma" xfId="1" builtinId="3"/>
    <cellStyle name="Comma 2" xfId="6" xr:uid="{BE4066D4-D6DB-49E9-84B1-F791A9B4B50F}"/>
    <cellStyle name="Hyperlink" xfId="10" builtinId="8"/>
    <cellStyle name="Normal" xfId="0" builtinId="0"/>
    <cellStyle name="Normal 2" xfId="3" xr:uid="{CAE31839-F71D-4179-9511-E71B7DB94533}"/>
    <cellStyle name="Normal 2 2" xfId="8" xr:uid="{390D9B0F-BE8B-4B04-B2F8-3085A5CFCC4A}"/>
    <cellStyle name="Normal 3" xfId="5" xr:uid="{3BD7EA28-A8AB-484C-A64A-99857012BCEE}"/>
    <cellStyle name="Normal 3 2" xfId="9" xr:uid="{E82E82B3-2757-4D4F-96B7-52A43C4A2F34}"/>
    <cellStyle name="Normal 4" xfId="4" xr:uid="{0AD5AD81-426E-46F7-8657-9B4F53093867}"/>
    <cellStyle name="Percent" xfId="2" builtinId="5"/>
    <cellStyle name="Percent 2" xfId="7" xr:uid="{23CF5F53-FFF9-4C77-BE0A-8D09A3BD2C91}"/>
  </cellStyles>
  <dxfs count="11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6" formatCode="#,##0&quot; DAYS&quot;"/>
      <alignment horizontal="left" vertical="center" textRotation="0" wrapText="0" indent="0" justifyLastLine="0" shrinkToFit="0" readingOrder="0"/>
    </dxf>
    <dxf>
      <numFmt numFmtId="166" formatCode="#,##0&quot; DAYS&quot;"/>
      <alignment horizontal="left" vertical="center" textRotation="0" wrapText="0" indent="0" justifyLastLine="0" shrinkToFit="0" readingOrder="0"/>
    </dxf>
    <dxf>
      <numFmt numFmtId="165" formatCode="#,##0.00&quot; SAR&quot;"/>
      <alignment horizontal="left" vertical="center" textRotation="0" wrapText="0" indent="0" justifyLastLine="0" shrinkToFit="0" readingOrder="0"/>
    </dxf>
    <dxf>
      <numFmt numFmtId="165" formatCode="#,##0.00&quot; SAR&quot;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[$-409]d/mmm/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[$-409]d/mmm/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35" formatCode="_(* #,##0.00_);_(* \(#,##0.00\);_(* &quot;-&quot;??_);_(@_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35" formatCode="_(* #,##0.00_);_(* \(#,##0.00\);_(* &quot;-&quot;??_);_(@_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4" formatCode="0.00%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</font>
      <numFmt numFmtId="14" formatCode="0.00%"/>
      <alignment horizontal="center" vertical="center" textRotation="0" wrapText="0" indent="0" justifyLastLine="0" shrinkToFit="0" readingOrder="0"/>
    </dxf>
    <dxf>
      <font>
        <b/>
      </font>
      <numFmt numFmtId="35" formatCode="_(* #,##0.00_);_(* \(#,##0.00\);_(* &quot;-&quot;??_);_(@_)"/>
      <alignment horizontal="center" vertical="center" textRotation="0" wrapText="0" indent="0" justifyLastLine="0" shrinkToFit="0" readingOrder="0"/>
    </dxf>
    <dxf>
      <font>
        <b/>
      </font>
      <numFmt numFmtId="35" formatCode="_(* #,##0.00_);_(* \(#,##0.00\);_(* &quot;-&quot;??_);_(@_)"/>
      <alignment horizontal="center" vertical="center" textRotation="0" wrapText="0" indent="0" justifyLastLine="0" shrinkToFit="0" readingOrder="0"/>
    </dxf>
    <dxf>
      <font>
        <b/>
      </font>
      <numFmt numFmtId="35" formatCode="_(* #,##0.00_);_(* \(#,##0.00\);_(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general" vertical="center" textRotation="0" wrapText="1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  <family val="2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F2F2"/>
      <color rgb="FFE6E6E6"/>
      <color rgb="FFD7D7D7"/>
      <color rgb="FF758DB3"/>
      <color rgb="FF58739E"/>
      <color rgb="FF6982AB"/>
      <color rgb="FF2A374C"/>
      <color rgb="FF2A2C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23813</xdr:colOff>
      <xdr:row>17</xdr:row>
      <xdr:rowOff>38100</xdr:rowOff>
    </xdr:from>
    <xdr:to>
      <xdr:col>4</xdr:col>
      <xdr:colOff>366712</xdr:colOff>
      <xdr:row>17</xdr:row>
      <xdr:rowOff>461962</xdr:rowOff>
    </xdr:to>
    <xdr:sp macro="[0]!CheckLogin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8B028A4-A93D-981F-AF43-5DA9CA8ECDC3}"/>
            </a:ext>
          </a:extLst>
        </xdr:cNvPr>
        <xdr:cNvSpPr/>
      </xdr:nvSpPr>
      <xdr:spPr>
        <a:xfrm>
          <a:off x="738188" y="6234113"/>
          <a:ext cx="4986337" cy="423862"/>
        </a:xfrm>
        <a:prstGeom prst="flowChartAlternateProcess">
          <a:avLst/>
        </a:prstGeom>
        <a:noFill/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</xdr:colOff>
      <xdr:row>19</xdr:row>
      <xdr:rowOff>47625</xdr:rowOff>
    </xdr:from>
    <xdr:to>
      <xdr:col>4</xdr:col>
      <xdr:colOff>390525</xdr:colOff>
      <xdr:row>19</xdr:row>
      <xdr:rowOff>457200</xdr:rowOff>
    </xdr:to>
    <xdr:sp macro="[0]!ExitApp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3502BF0B-B88F-28BC-D26F-768BC1815D30}"/>
            </a:ext>
          </a:extLst>
        </xdr:cNvPr>
        <xdr:cNvSpPr/>
      </xdr:nvSpPr>
      <xdr:spPr>
        <a:xfrm>
          <a:off x="752475" y="7077075"/>
          <a:ext cx="4995863" cy="409575"/>
        </a:xfrm>
        <a:prstGeom prst="flowChartAlternateProcess">
          <a:avLst/>
        </a:prstGeom>
        <a:noFill/>
        <a:ln>
          <a:solidFill>
            <a:srgbClr val="FFC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71438</xdr:colOff>
      <xdr:row>2</xdr:row>
      <xdr:rowOff>276225</xdr:rowOff>
    </xdr:from>
    <xdr:to>
      <xdr:col>1</xdr:col>
      <xdr:colOff>1795463</xdr:colOff>
      <xdr:row>3</xdr:row>
      <xdr:rowOff>280987</xdr:rowOff>
    </xdr:to>
    <xdr:sp macro="[0]!Open_Project_App" textlink="">
      <xdr:nvSpPr>
        <xdr:cNvPr id="2" name="TextBox 1">
          <a:extLst>
            <a:ext uri="{FF2B5EF4-FFF2-40B4-BE49-F238E27FC236}">
              <a16:creationId xmlns:a16="http://schemas.microsoft.com/office/drawing/2014/main" id="{B6589668-CA5D-76E2-12FE-3B88F1FFD298}"/>
            </a:ext>
          </a:extLst>
        </xdr:cNvPr>
        <xdr:cNvSpPr txBox="1"/>
      </xdr:nvSpPr>
      <xdr:spPr>
        <a:xfrm>
          <a:off x="285751" y="885825"/>
          <a:ext cx="1724025" cy="309562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System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2</xdr:row>
      <xdr:rowOff>66675</xdr:rowOff>
    </xdr:from>
    <xdr:to>
      <xdr:col>2</xdr:col>
      <xdr:colOff>33337</xdr:colOff>
      <xdr:row>4</xdr:row>
      <xdr:rowOff>142875</xdr:rowOff>
    </xdr:to>
    <xdr:sp macro="Nav_BOQ" textlink="">
      <xdr:nvSpPr>
        <xdr:cNvPr id="4" name="Btn_BOQ">
          <a:extLst>
            <a:ext uri="{FF2B5EF4-FFF2-40B4-BE49-F238E27FC236}">
              <a16:creationId xmlns:a16="http://schemas.microsoft.com/office/drawing/2014/main" id="{3D453A04-1DA3-9201-8926-6C1A33BA5C94}"/>
            </a:ext>
          </a:extLst>
        </xdr:cNvPr>
        <xdr:cNvSpPr/>
      </xdr:nvSpPr>
      <xdr:spPr>
        <a:xfrm>
          <a:off x="381000" y="762000"/>
          <a:ext cx="2286000" cy="762000"/>
        </a:xfrm>
        <a:prstGeom prst="roundRect">
          <a:avLst/>
        </a:prstGeom>
        <a:solidFill>
          <a:srgbClr val="0032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?BOQ</a:t>
          </a:r>
        </a:p>
      </xdr:txBody>
    </xdr:sp>
    <xdr:clientData/>
  </xdr:twoCellAnchor>
  <xdr:twoCellAnchor>
    <xdr:from>
      <xdr:col>2</xdr:col>
      <xdr:colOff>287337</xdr:colOff>
      <xdr:row>5</xdr:row>
      <xdr:rowOff>152400</xdr:rowOff>
    </xdr:from>
    <xdr:to>
      <xdr:col>6</xdr:col>
      <xdr:colOff>77787</xdr:colOff>
      <xdr:row>10</xdr:row>
      <xdr:rowOff>9525</xdr:rowOff>
    </xdr:to>
    <xdr:sp macro="Nav_WIR" textlink="">
      <xdr:nvSpPr>
        <xdr:cNvPr id="5" name="Btn_WIR_Tracking">
          <a:extLst>
            <a:ext uri="{FF2B5EF4-FFF2-40B4-BE49-F238E27FC236}">
              <a16:creationId xmlns:a16="http://schemas.microsoft.com/office/drawing/2014/main" id="{6310BFAA-88FE-F134-DC24-97373C1849D6}"/>
            </a:ext>
          </a:extLst>
        </xdr:cNvPr>
        <xdr:cNvSpPr/>
      </xdr:nvSpPr>
      <xdr:spPr>
        <a:xfrm>
          <a:off x="2921000" y="1714500"/>
          <a:ext cx="2286000" cy="762000"/>
        </a:xfrm>
        <a:prstGeom prst="roundRect">
          <a:avLst/>
        </a:prstGeom>
        <a:solidFill>
          <a:srgbClr val="0032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?WIR Tracking</a:t>
          </a:r>
        </a:p>
      </xdr:txBody>
    </xdr:sp>
    <xdr:clientData/>
  </xdr:twoCellAnchor>
  <xdr:twoCellAnchor>
    <xdr:from>
      <xdr:col>1</xdr:col>
      <xdr:colOff>276225</xdr:colOff>
      <xdr:row>11</xdr:row>
      <xdr:rowOff>19050</xdr:rowOff>
    </xdr:from>
    <xdr:to>
      <xdr:col>2</xdr:col>
      <xdr:colOff>33337</xdr:colOff>
      <xdr:row>15</xdr:row>
      <xdr:rowOff>57150</xdr:rowOff>
    </xdr:to>
    <xdr:sp macro="Nav_ClientIPC" textlink="">
      <xdr:nvSpPr>
        <xdr:cNvPr id="6" name="Btn_Client_IPC_Creation">
          <a:extLst>
            <a:ext uri="{FF2B5EF4-FFF2-40B4-BE49-F238E27FC236}">
              <a16:creationId xmlns:a16="http://schemas.microsoft.com/office/drawing/2014/main" id="{55B23819-5796-914F-1D82-44D49193B53D}"/>
            </a:ext>
          </a:extLst>
        </xdr:cNvPr>
        <xdr:cNvSpPr/>
      </xdr:nvSpPr>
      <xdr:spPr>
        <a:xfrm>
          <a:off x="381000" y="2667000"/>
          <a:ext cx="2286000" cy="762000"/>
        </a:xfrm>
        <a:prstGeom prst="roundRect">
          <a:avLst/>
        </a:prstGeom>
        <a:solidFill>
          <a:srgbClr val="0032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?Client IPC Creation</a:t>
          </a:r>
        </a:p>
      </xdr:txBody>
    </xdr:sp>
    <xdr:clientData/>
  </xdr:twoCellAnchor>
  <xdr:twoCellAnchor>
    <xdr:from>
      <xdr:col>2</xdr:col>
      <xdr:colOff>287337</xdr:colOff>
      <xdr:row>16</xdr:row>
      <xdr:rowOff>66675</xdr:rowOff>
    </xdr:from>
    <xdr:to>
      <xdr:col>6</xdr:col>
      <xdr:colOff>77787</xdr:colOff>
      <xdr:row>20</xdr:row>
      <xdr:rowOff>104775</xdr:rowOff>
    </xdr:to>
    <xdr:sp macro="Nav_ClientIPTrack" textlink="">
      <xdr:nvSpPr>
        <xdr:cNvPr id="7" name="Btn_Client_IPC_Tracking">
          <a:extLst>
            <a:ext uri="{FF2B5EF4-FFF2-40B4-BE49-F238E27FC236}">
              <a16:creationId xmlns:a16="http://schemas.microsoft.com/office/drawing/2014/main" id="{06F3C308-9340-C75C-DD44-B7CB0D0F5458}"/>
            </a:ext>
          </a:extLst>
        </xdr:cNvPr>
        <xdr:cNvSpPr/>
      </xdr:nvSpPr>
      <xdr:spPr>
        <a:xfrm>
          <a:off x="2921000" y="3619500"/>
          <a:ext cx="2286000" cy="762000"/>
        </a:xfrm>
        <a:prstGeom prst="roundRect">
          <a:avLst/>
        </a:prstGeom>
        <a:solidFill>
          <a:srgbClr val="0032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?Client IPC Tracking</a:t>
          </a:r>
        </a:p>
      </xdr:txBody>
    </xdr:sp>
    <xdr:clientData/>
  </xdr:twoCellAnchor>
  <xdr:twoCellAnchor>
    <xdr:from>
      <xdr:col>1</xdr:col>
      <xdr:colOff>276225</xdr:colOff>
      <xdr:row>21</xdr:row>
      <xdr:rowOff>114300</xdr:rowOff>
    </xdr:from>
    <xdr:to>
      <xdr:col>2</xdr:col>
      <xdr:colOff>33337</xdr:colOff>
      <xdr:row>25</xdr:row>
      <xdr:rowOff>152400</xdr:rowOff>
    </xdr:to>
    <xdr:sp macro="Nav_SubIPC" textlink="">
      <xdr:nvSpPr>
        <xdr:cNvPr id="8" name="Btn_Subcontractor_IPC_Creation">
          <a:extLst>
            <a:ext uri="{FF2B5EF4-FFF2-40B4-BE49-F238E27FC236}">
              <a16:creationId xmlns:a16="http://schemas.microsoft.com/office/drawing/2014/main" id="{1DACA2E7-9D57-259E-B4B2-D7DA56D44798}"/>
            </a:ext>
          </a:extLst>
        </xdr:cNvPr>
        <xdr:cNvSpPr/>
      </xdr:nvSpPr>
      <xdr:spPr>
        <a:xfrm>
          <a:off x="381000" y="4572000"/>
          <a:ext cx="2286000" cy="762000"/>
        </a:xfrm>
        <a:prstGeom prst="roundRect">
          <a:avLst/>
        </a:prstGeom>
        <a:solidFill>
          <a:srgbClr val="0078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??Subcontractor IPC Creation</a:t>
          </a:r>
        </a:p>
      </xdr:txBody>
    </xdr:sp>
    <xdr:clientData/>
  </xdr:twoCellAnchor>
  <xdr:twoCellAnchor>
    <xdr:from>
      <xdr:col>2</xdr:col>
      <xdr:colOff>287337</xdr:colOff>
      <xdr:row>26</xdr:row>
      <xdr:rowOff>161925</xdr:rowOff>
    </xdr:from>
    <xdr:to>
      <xdr:col>6</xdr:col>
      <xdr:colOff>77787</xdr:colOff>
      <xdr:row>31</xdr:row>
      <xdr:rowOff>19050</xdr:rowOff>
    </xdr:to>
    <xdr:sp macro="Nav_SubIPTrack" textlink="">
      <xdr:nvSpPr>
        <xdr:cNvPr id="9" name="Btn_Subcontractor_IPC_Tracking">
          <a:extLst>
            <a:ext uri="{FF2B5EF4-FFF2-40B4-BE49-F238E27FC236}">
              <a16:creationId xmlns:a16="http://schemas.microsoft.com/office/drawing/2014/main" id="{CE24086B-007B-125E-00DD-A5CC39F0C9A4}"/>
            </a:ext>
          </a:extLst>
        </xdr:cNvPr>
        <xdr:cNvSpPr/>
      </xdr:nvSpPr>
      <xdr:spPr>
        <a:xfrm>
          <a:off x="2921000" y="5524500"/>
          <a:ext cx="2286000" cy="762000"/>
        </a:xfrm>
        <a:prstGeom prst="roundRect">
          <a:avLst/>
        </a:prstGeom>
        <a:solidFill>
          <a:srgbClr val="0078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?Subcontractor IPC Tracking</a:t>
          </a:r>
        </a:p>
      </xdr:txBody>
    </xdr:sp>
    <xdr:clientData/>
  </xdr:twoCellAnchor>
  <xdr:twoCellAnchor>
    <xdr:from>
      <xdr:col>1</xdr:col>
      <xdr:colOff>276225</xdr:colOff>
      <xdr:row>32</xdr:row>
      <xdr:rowOff>28575</xdr:rowOff>
    </xdr:from>
    <xdr:to>
      <xdr:col>2</xdr:col>
      <xdr:colOff>33337</xdr:colOff>
      <xdr:row>36</xdr:row>
      <xdr:rowOff>66675</xdr:rowOff>
    </xdr:to>
    <xdr:sp macro="Nav_Home" textlink="">
      <xdr:nvSpPr>
        <xdr:cNvPr id="10" name="Btn_Home">
          <a:extLst>
            <a:ext uri="{FF2B5EF4-FFF2-40B4-BE49-F238E27FC236}">
              <a16:creationId xmlns:a16="http://schemas.microsoft.com/office/drawing/2014/main" id="{67C2DDBE-1881-773B-4AE2-338A1703319F}"/>
            </a:ext>
          </a:extLst>
        </xdr:cNvPr>
        <xdr:cNvSpPr/>
      </xdr:nvSpPr>
      <xdr:spPr>
        <a:xfrm>
          <a:off x="381000" y="6477000"/>
          <a:ext cx="2286000" cy="762000"/>
        </a:xfrm>
        <a:prstGeom prst="roundRect">
          <a:avLst/>
        </a:prstGeom>
        <a:solidFill>
          <a:srgbClr val="0032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?Home</a:t>
          </a:r>
        </a:p>
      </xdr:txBody>
    </xdr:sp>
    <xdr:clientData/>
  </xdr:twoCellAnchor>
  <xdr:twoCellAnchor>
    <xdr:from>
      <xdr:col>2</xdr:col>
      <xdr:colOff>287337</xdr:colOff>
      <xdr:row>37</xdr:row>
      <xdr:rowOff>76200</xdr:rowOff>
    </xdr:from>
    <xdr:to>
      <xdr:col>6</xdr:col>
      <xdr:colOff>77787</xdr:colOff>
      <xdr:row>41</xdr:row>
      <xdr:rowOff>114300</xdr:rowOff>
    </xdr:to>
    <xdr:sp macro="Nav_Variation" textlink="">
      <xdr:nvSpPr>
        <xdr:cNvPr id="11" name="Btn_Variation_Tracking">
          <a:extLst>
            <a:ext uri="{FF2B5EF4-FFF2-40B4-BE49-F238E27FC236}">
              <a16:creationId xmlns:a16="http://schemas.microsoft.com/office/drawing/2014/main" id="{9872B16B-32DB-954E-F603-7AEE37401EBF}"/>
            </a:ext>
          </a:extLst>
        </xdr:cNvPr>
        <xdr:cNvSpPr/>
      </xdr:nvSpPr>
      <xdr:spPr>
        <a:xfrm>
          <a:off x="2921000" y="7429500"/>
          <a:ext cx="2286000" cy="762000"/>
        </a:xfrm>
        <a:prstGeom prst="roundRect">
          <a:avLst/>
        </a:prstGeom>
        <a:solidFill>
          <a:srgbClr val="0032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1600" b="1">
              <a:solidFill>
                <a:srgbClr val="FFFFFF"/>
              </a:solidFill>
            </a:rPr>
            <a:t>?</a:t>
          </a:r>
          <a:r>
            <a:rPr lang="en-US" sz="1200" b="1">
              <a:solidFill>
                <a:srgbClr val="FFFFFF"/>
              </a:solidFill>
            </a:rPr>
            <a:t>?Variation Tracking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977446</xdr:colOff>
      <xdr:row>1</xdr:row>
      <xdr:rowOff>260803</xdr:rowOff>
    </xdr:to>
    <xdr:sp macro="GoToDashboard" textlink="">
      <xdr:nvSpPr>
        <xdr:cNvPr id="2" name="HomeBtn">
          <a:extLst>
            <a:ext uri="{FF2B5EF4-FFF2-40B4-BE49-F238E27FC236}">
              <a16:creationId xmlns:a16="http://schemas.microsoft.com/office/drawing/2014/main" id="{BCF971B7-B4D3-CFFE-ECB4-60D3525BE36B}"/>
            </a:ext>
          </a:extLst>
        </xdr:cNvPr>
        <xdr:cNvSpPr/>
      </xdr:nvSpPr>
      <xdr:spPr>
        <a:xfrm>
          <a:off x="63500" y="63500"/>
          <a:ext cx="1016000" cy="381000"/>
        </a:xfrm>
        <a:prstGeom prst="roundRect">
          <a:avLst/>
        </a:prstGeom>
        <a:solidFill>
          <a:srgbClr val="F0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3264"/>
              </a:solidFill>
            </a:rPr>
            <a:t>??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963839</xdr:colOff>
      <xdr:row>1</xdr:row>
      <xdr:rowOff>260803</xdr:rowOff>
    </xdr:to>
    <xdr:sp macro="GoToDashboard" textlink="">
      <xdr:nvSpPr>
        <xdr:cNvPr id="2" name="HomeBtn">
          <a:extLst>
            <a:ext uri="{FF2B5EF4-FFF2-40B4-BE49-F238E27FC236}">
              <a16:creationId xmlns:a16="http://schemas.microsoft.com/office/drawing/2014/main" id="{B2707C8A-E35F-CC26-8B6A-399EB3EC6F2F}"/>
            </a:ext>
          </a:extLst>
        </xdr:cNvPr>
        <xdr:cNvSpPr/>
      </xdr:nvSpPr>
      <xdr:spPr>
        <a:xfrm>
          <a:off x="63500" y="63500"/>
          <a:ext cx="1016000" cy="381000"/>
        </a:xfrm>
        <a:prstGeom prst="roundRect">
          <a:avLst/>
        </a:prstGeom>
        <a:solidFill>
          <a:srgbClr val="F0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3264"/>
              </a:solidFill>
            </a:rPr>
            <a:t>??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5</xdr:row>
      <xdr:rowOff>28575</xdr:rowOff>
    </xdr:from>
    <xdr:to>
      <xdr:col>6</xdr:col>
      <xdr:colOff>542925</xdr:colOff>
      <xdr:row>6</xdr:row>
      <xdr:rowOff>95250</xdr:rowOff>
    </xdr:to>
    <xdr:sp macro="[0]!Generate_IPC_With_Calculated_Price" textlink="">
      <xdr:nvSpPr>
        <xdr:cNvPr id="2" name="TextBox 1">
          <a:extLst>
            <a:ext uri="{FF2B5EF4-FFF2-40B4-BE49-F238E27FC236}">
              <a16:creationId xmlns:a16="http://schemas.microsoft.com/office/drawing/2014/main" id="{4AA219BA-F8B2-8AFA-FAD1-16EED402661D}"/>
            </a:ext>
          </a:extLst>
        </xdr:cNvPr>
        <xdr:cNvSpPr txBox="1"/>
      </xdr:nvSpPr>
      <xdr:spPr>
        <a:xfrm>
          <a:off x="5334000" y="1304925"/>
          <a:ext cx="1057275" cy="247650"/>
        </a:xfrm>
        <a:prstGeom prst="rect">
          <a:avLst/>
        </a:prstGeom>
        <a:solidFill>
          <a:schemeClr val="bg2"/>
        </a:solidFill>
        <a:ln w="2857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200" b="1">
              <a:solidFill>
                <a:srgbClr val="FF0000"/>
              </a:solidFill>
            </a:rPr>
            <a:t>Generat IPC</a:t>
          </a:r>
        </a:p>
      </xdr:txBody>
    </xdr:sp>
    <xdr:clientData/>
  </xdr:twoCellAnchor>
  <xdr:twoCellAnchor>
    <xdr:from>
      <xdr:col>7</xdr:col>
      <xdr:colOff>29764</xdr:colOff>
      <xdr:row>4</xdr:row>
      <xdr:rowOff>101202</xdr:rowOff>
    </xdr:from>
    <xdr:to>
      <xdr:col>8</xdr:col>
      <xdr:colOff>559593</xdr:colOff>
      <xdr:row>6</xdr:row>
      <xdr:rowOff>59531</xdr:rowOff>
    </xdr:to>
    <xdr:sp macro="[0]!Preview_IPC_Report" textlink="">
      <xdr:nvSpPr>
        <xdr:cNvPr id="4" name="TextBox 3">
          <a:extLst>
            <a:ext uri="{FF2B5EF4-FFF2-40B4-BE49-F238E27FC236}">
              <a16:creationId xmlns:a16="http://schemas.microsoft.com/office/drawing/2014/main" id="{C60CDC0C-CCCD-7BE2-BC17-32D01864EFEC}"/>
            </a:ext>
          </a:extLst>
        </xdr:cNvPr>
        <xdr:cNvSpPr txBox="1"/>
      </xdr:nvSpPr>
      <xdr:spPr>
        <a:xfrm>
          <a:off x="7048499" y="1190625"/>
          <a:ext cx="1506142" cy="315516"/>
        </a:xfrm>
        <a:prstGeom prst="rect">
          <a:avLst/>
        </a:prstGeom>
        <a:solidFill>
          <a:schemeClr val="bg2">
            <a:lumMod val="90000"/>
          </a:schemeClr>
        </a:solidFill>
        <a:ln w="2857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400" b="1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Preview Report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818030</xdr:colOff>
      <xdr:row>4</xdr:row>
      <xdr:rowOff>84044</xdr:rowOff>
    </xdr:from>
    <xdr:to>
      <xdr:col>10</xdr:col>
      <xdr:colOff>381000</xdr:colOff>
      <xdr:row>6</xdr:row>
      <xdr:rowOff>72838</xdr:rowOff>
    </xdr:to>
    <xdr:sp macro="[0]!Save_Print_PDF_And_Log_With_Preview" textlink="">
      <xdr:nvSpPr>
        <xdr:cNvPr id="5" name="TextBox 4">
          <a:extLst>
            <a:ext uri="{FF2B5EF4-FFF2-40B4-BE49-F238E27FC236}">
              <a16:creationId xmlns:a16="http://schemas.microsoft.com/office/drawing/2014/main" id="{A3A75F61-3354-E5A5-DE8E-B7EF09A9C86C}"/>
            </a:ext>
          </a:extLst>
        </xdr:cNvPr>
        <xdr:cNvSpPr txBox="1"/>
      </xdr:nvSpPr>
      <xdr:spPr>
        <a:xfrm>
          <a:off x="8807824" y="1171015"/>
          <a:ext cx="1507191" cy="347382"/>
        </a:xfrm>
        <a:prstGeom prst="rect">
          <a:avLst/>
        </a:prstGeom>
        <a:solidFill>
          <a:schemeClr val="bg2">
            <a:lumMod val="90000"/>
          </a:schemeClr>
        </a:solidFill>
        <a:ln w="28575" cmpd="sng"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400" b="1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Save &amp; Print PDF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948531</xdr:colOff>
      <xdr:row>1</xdr:row>
      <xdr:rowOff>265906</xdr:rowOff>
    </xdr:to>
    <xdr:sp macro="GoToDashboard" textlink="">
      <xdr:nvSpPr>
        <xdr:cNvPr id="6" name="HomeBtn">
          <a:extLst>
            <a:ext uri="{FF2B5EF4-FFF2-40B4-BE49-F238E27FC236}">
              <a16:creationId xmlns:a16="http://schemas.microsoft.com/office/drawing/2014/main" id="{AA4FE85A-FD88-13D0-F503-B3D7B3CB267C}"/>
            </a:ext>
          </a:extLst>
        </xdr:cNvPr>
        <xdr:cNvSpPr/>
      </xdr:nvSpPr>
      <xdr:spPr>
        <a:xfrm>
          <a:off x="63500" y="63500"/>
          <a:ext cx="1016000" cy="381000"/>
        </a:xfrm>
        <a:prstGeom prst="roundRect">
          <a:avLst/>
        </a:prstGeom>
        <a:solidFill>
          <a:srgbClr val="F0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3264"/>
              </a:solidFill>
            </a:rPr>
            <a:t>??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917575</xdr:colOff>
      <xdr:row>1</xdr:row>
      <xdr:rowOff>263525</xdr:rowOff>
    </xdr:to>
    <xdr:sp macro="GoToDashboard" textlink="">
      <xdr:nvSpPr>
        <xdr:cNvPr id="2" name="HomeBtn">
          <a:extLst>
            <a:ext uri="{FF2B5EF4-FFF2-40B4-BE49-F238E27FC236}">
              <a16:creationId xmlns:a16="http://schemas.microsoft.com/office/drawing/2014/main" id="{738F976D-130B-FCF2-ACFC-402AF7BB99A9}"/>
            </a:ext>
          </a:extLst>
        </xdr:cNvPr>
        <xdr:cNvSpPr/>
      </xdr:nvSpPr>
      <xdr:spPr>
        <a:xfrm>
          <a:off x="63500" y="63500"/>
          <a:ext cx="1016000" cy="381000"/>
        </a:xfrm>
        <a:prstGeom prst="roundRect">
          <a:avLst/>
        </a:prstGeom>
        <a:solidFill>
          <a:srgbClr val="F0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3264"/>
              </a:solidFill>
            </a:rPr>
            <a:t>??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928687</xdr:colOff>
      <xdr:row>1</xdr:row>
      <xdr:rowOff>261937</xdr:rowOff>
    </xdr:to>
    <xdr:sp macro="GoToDashboard" textlink="">
      <xdr:nvSpPr>
        <xdr:cNvPr id="2" name="HomeBtn">
          <a:extLst>
            <a:ext uri="{FF2B5EF4-FFF2-40B4-BE49-F238E27FC236}">
              <a16:creationId xmlns:a16="http://schemas.microsoft.com/office/drawing/2014/main" id="{8329DCA9-57ED-A640-DAD0-4356B469BECC}"/>
            </a:ext>
          </a:extLst>
        </xdr:cNvPr>
        <xdr:cNvSpPr/>
      </xdr:nvSpPr>
      <xdr:spPr>
        <a:xfrm>
          <a:off x="63500" y="63500"/>
          <a:ext cx="1016000" cy="381000"/>
        </a:xfrm>
        <a:prstGeom prst="roundRect">
          <a:avLst/>
        </a:prstGeom>
        <a:solidFill>
          <a:srgbClr val="F0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3264"/>
              </a:solidFill>
            </a:rPr>
            <a:t>??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922337</xdr:colOff>
      <xdr:row>1</xdr:row>
      <xdr:rowOff>263525</xdr:rowOff>
    </xdr:to>
    <xdr:sp macro="GoToDashboard" textlink="">
      <xdr:nvSpPr>
        <xdr:cNvPr id="2" name="HomeBtn">
          <a:extLst>
            <a:ext uri="{FF2B5EF4-FFF2-40B4-BE49-F238E27FC236}">
              <a16:creationId xmlns:a16="http://schemas.microsoft.com/office/drawing/2014/main" id="{D438A457-9517-85FF-957A-A29A029CF578}"/>
            </a:ext>
          </a:extLst>
        </xdr:cNvPr>
        <xdr:cNvSpPr/>
      </xdr:nvSpPr>
      <xdr:spPr>
        <a:xfrm>
          <a:off x="63500" y="63500"/>
          <a:ext cx="1016000" cy="381000"/>
        </a:xfrm>
        <a:prstGeom prst="roundRect">
          <a:avLst/>
        </a:prstGeom>
        <a:solidFill>
          <a:srgbClr val="F0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3264"/>
              </a:solidFill>
            </a:rPr>
            <a:t>??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872191</xdr:colOff>
      <xdr:row>1</xdr:row>
      <xdr:rowOff>265206</xdr:rowOff>
    </xdr:to>
    <xdr:sp macro="GoToDashboard" textlink="">
      <xdr:nvSpPr>
        <xdr:cNvPr id="2" name="HomeBtn">
          <a:extLst>
            <a:ext uri="{FF2B5EF4-FFF2-40B4-BE49-F238E27FC236}">
              <a16:creationId xmlns:a16="http://schemas.microsoft.com/office/drawing/2014/main" id="{170B0A12-8DF6-34D8-CF1F-EB1B861A4766}"/>
            </a:ext>
          </a:extLst>
        </xdr:cNvPr>
        <xdr:cNvSpPr/>
      </xdr:nvSpPr>
      <xdr:spPr>
        <a:xfrm>
          <a:off x="63500" y="63500"/>
          <a:ext cx="1016000" cy="381000"/>
        </a:xfrm>
        <a:prstGeom prst="roundRect">
          <a:avLst/>
        </a:prstGeom>
        <a:solidFill>
          <a:srgbClr val="F0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3264"/>
              </a:solidFill>
            </a:rPr>
            <a:t>?? 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H300633DC01\Users\maothman\AppData\Local\Microsoft\Windows\Temporary%20Internet%20Files\Content.Outlook\IKF8SIHD\Sudair_2_-_Part_1_Ind_SpineRd_BoQ(Arabic)_2013_02_24_-MODON-amendments-Rev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Rev."/>
      <sheetName val="Meta"/>
      <sheetName val="Content"/>
      <sheetName val="Fly"/>
      <sheetName val="a.PQ"/>
      <sheetName val="P4"/>
      <sheetName val="P7"/>
      <sheetName val="b.PP"/>
      <sheetName val="c.DW"/>
      <sheetName val="D.1."/>
      <sheetName val="D.2."/>
      <sheetName val="D.3."/>
      <sheetName val="D.4."/>
      <sheetName val="S.1"/>
      <sheetName val="D.5."/>
      <sheetName val="D.6."/>
      <sheetName val="D.7."/>
      <sheetName val="S.2"/>
      <sheetName val="D.8."/>
      <sheetName val="D.9."/>
      <sheetName val="D.10."/>
      <sheetName val="D.11."/>
      <sheetName val="D.12.1-6."/>
      <sheetName val="D.13."/>
      <sheetName val="D.14."/>
      <sheetName val="S.3"/>
      <sheetName val="D.15."/>
      <sheetName val="G.S."/>
    </sheetNames>
    <sheetDataSet>
      <sheetData sheetId="0"/>
      <sheetData sheetId="1"/>
      <sheetData sheetId="2"/>
      <sheetData sheetId="3"/>
      <sheetData sheetId="4"/>
      <sheetData sheetId="5">
        <row r="4">
          <cell r="I4">
            <v>0.6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7ECA8E-085D-4CBE-B1E6-4D2000845504}" name="BOQ" displayName="BOQ" ref="C6:P93" totalsRowShown="0" headerRowDxfId="114" dataDxfId="113">
  <autoFilter ref="C6:P93" xr:uid="{DD7ECA8E-085D-4CBE-B1E6-4D2000845504}"/>
  <tableColumns count="14">
    <tableColumn id="1" xr3:uid="{83D70113-EA47-44A5-8E1E-A2C195BB7560}" name="BOQ Item No" dataDxfId="112"/>
    <tableColumn id="2" xr3:uid="{EAD0E6B6-5915-4B65-AECE-33ED14741541}" name="WBS Code / Activity ID" dataDxfId="111"/>
    <tableColumn id="3" xr3:uid="{1CCD5186-7ACB-44D9-9766-0B1CC6E2546B}" name="Discipline / Trade" dataDxfId="110"/>
    <tableColumn id="4" xr3:uid="{479EA670-D08B-4F86-B2AF-64911947D614}" name="Item Description" dataDxfId="109"/>
    <tableColumn id="5" xr3:uid="{2703BF2A-D8A1-4D9B-A8C4-A7EBAE192A6F}" name="Unit" dataDxfId="108"/>
    <tableColumn id="6" xr3:uid="{11601A6A-2AA9-486F-AB7B-C30BFBCA7E3B}" name="Contract Qty" dataDxfId="107" dataCellStyle="Comma"/>
    <tableColumn id="7" xr3:uid="{6D68D3BA-D45C-41C8-BA9F-C2DA1A29ED36}" name="Contract Rate (SAR)" dataDxfId="106" dataCellStyle="Comma"/>
    <tableColumn id="8" xr3:uid="{303A2AD0-E610-455C-A8F7-D5CC4B6FB141}" name="Contract Amount (SAR)" dataDxfId="105" dataCellStyle="Comma"/>
    <tableColumn id="20" xr3:uid="{4D6CD804-3646-452E-933D-639F4D94963A}" name="V.O No" dataDxfId="104" dataCellStyle="Comma"/>
    <tableColumn id="21" xr3:uid="{CD5B1713-6160-4819-81DC-A56F92439B48}" name="Type Of V.O" dataDxfId="103" dataCellStyle="Comma"/>
    <tableColumn id="14" xr3:uid="{405A0393-992D-4147-8516-15F7817A6CD0}" name="Cumulative Executed Qty" dataDxfId="102" dataCellStyle="Comma">
      <calculatedColumnFormula array="1">SUMPRODUCT((BOQ[[#This Row],[BOQ Item No]]='WIR Tracking'!$H$7:$H$30)*('WIR Tracking'!$P$7:$P$30="OK")*(('WIR Tracking'!$R$7:$R$30="A - Approved")+('WIR Tracking'!$R$7:$R$30="B - Approved as Noted"))*'WIR Tracking'!$O$7:$O$30)</calculatedColumnFormula>
    </tableColumn>
    <tableColumn id="16" xr3:uid="{A6019621-9225-4C41-AA52-09C435B9C6EC}" name="Executed Amount (SAR)" dataDxfId="101" dataCellStyle="Comma">
      <calculatedColumnFormula>BOQ[[#This Row],[Cumulative Executed Qty]]*BOQ[[#This Row],[Contract Rate (SAR)]]</calculatedColumnFormula>
    </tableColumn>
    <tableColumn id="15" xr3:uid="{91F3477C-556C-4B1C-A7C3-19C57EAC8355}" name="Remaining Qty" dataDxfId="100" dataCellStyle="Comma">
      <calculatedColumnFormula>BOQ[[#This Row],[Contract Qty]]-BOQ[[#This Row],[Cumulative Executed Qty]]</calculatedColumnFormula>
    </tableColumn>
    <tableColumn id="17" xr3:uid="{9AEC93F2-AEE1-42A1-9048-A36B9E5B0CC2}" name="% Financial Progress" dataDxfId="99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77E8A0-D482-4771-8382-B0311A343D04}" name="Wir_Recording" displayName="Wir_Recording" ref="C6:U30" totalsRowShown="0" headerRowDxfId="98" dataDxfId="97" tableBorderDxfId="96" headerRowCellStyle="Normal 2">
  <autoFilter ref="C6:U30" xr:uid="{4A77E8A0-D482-4771-8382-B0311A343D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9C1BCC6B-B9BB-434E-8288-4F86329B70C1}" name="NO" dataDxfId="95"/>
    <tableColumn id="2" xr3:uid="{35CA8848-C3C4-4E52-B899-673D5D76429D}" name="FULL WIR No." dataDxfId="94"/>
    <tableColumn id="3" xr3:uid="{AD208C60-75E3-40AD-9211-D29BB8CD0915}" name="DISCRIPTION" dataDxfId="93">
      <calculatedColumnFormula>_xlfn.XLOOKUP('WIR Tracking'!$H7,BOQ[BOQ Item No],BOQ[Item Description])</calculatedColumnFormula>
    </tableColumn>
    <tableColumn id="4" xr3:uid="{E57E4224-89EE-41A5-8A70-7F63B475F8E3}" name="SUB.DATE" dataDxfId="92"/>
    <tableColumn id="5" xr3:uid="{C8B968F3-56F1-4B27-B9FB-EFB987B7969E}" name="BOQ ITEM" dataDxfId="91"/>
    <tableColumn id="6" xr3:uid="{4B92E41D-8831-4541-8D90-4F1B978F431E}" name="BOQ ITEM NO" dataDxfId="90"/>
    <tableColumn id="7" xr3:uid="{9FB7B4E8-567B-4976-BC52-728DCCEEFD9D}" name="Zone" dataDxfId="89"/>
    <tableColumn id="8" xr3:uid="{F67F0975-F837-4AD9-B295-D20E3E2BD46E}" name="COMPANY" dataDxfId="88"/>
    <tableColumn id="9" xr3:uid="{BD463438-588A-4075-9D8B-749C2D05329E}" name="Company Type" dataDxfId="87"/>
    <tableColumn id="10" xr3:uid="{DD4A50EF-ABF4-4E4A-8231-5DBCE7C1879A}" name="UNIT" dataDxfId="86">
      <calculatedColumnFormula>_xlfn.XLOOKUP('WIR Tracking'!$H7,BOQ[BOQ Item No],BOQ[Unit])</calculatedColumnFormula>
    </tableColumn>
    <tableColumn id="11" xr3:uid="{D8E61728-32C7-474E-A170-2A25D6221832}" name="QTY" dataDxfId="85"/>
    <tableColumn id="12" xr3:uid="{27F463E2-B734-4701-8273-860BDF4D6A46}" name="EXECUTED %" dataDxfId="84" dataCellStyle="Percent"/>
    <tableColumn id="13" xr3:uid="{897E8269-611F-4EB5-B88B-BF8ED427B05B}" name="QS" dataDxfId="83"/>
    <tableColumn id="14" xr3:uid="{0F5A384D-1923-44FE-9A81-CB0BF537137C}" name="CASE" dataDxfId="82"/>
    <tableColumn id="15" xr3:uid="{17FF7EA8-3739-43F6-B227-FFB0EE02E0EF}" name="Discipline" dataDxfId="81"/>
    <tableColumn id="16" xr3:uid="{D5AF4CDF-3C89-49C8-847B-D0748A5E8BF3}" name="Consultant Status" dataDxfId="80"/>
    <tableColumn id="17" xr3:uid="{1D37DA64-15A4-4F60-8D56-13E6814889A1}" name="IPC No." dataDxfId="79"/>
    <tableColumn id="18" xr3:uid="{B1024D97-3E2E-4B78-B228-607243B34B0C}" name="V.O Status" dataDxfId="78">
      <calculatedColumnFormula>_xlfn.XLOOKUP('WIR Tracking'!$H7,BOQ[BOQ Item No],BOQ[Type Of V.O])</calculatedColumnFormula>
    </tableColumn>
    <tableColumn id="19" xr3:uid="{8AC417C2-5D56-4A65-BEEE-37C7268E9052}" name="V.O No" dataDxfId="77">
      <calculatedColumnFormula>_xlfn.XLOOKUP('WIR Tracking'!$H7,BOQ[BOQ Item No],BOQ[V.O No],"N/A")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854733-EC6D-40EB-8FC5-C2E0425C7F3A}" name="Client_IPC_Creation" displayName="Client_IPC_Creation" ref="C8:O12" totalsRowShown="0" headerRowDxfId="76" dataDxfId="75">
  <autoFilter ref="C8:O12" xr:uid="{D8854733-EC6D-40EB-8FC5-C2E0425C7F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C25F6B4A-0785-4100-A9E5-317E8FBEB873}" name="IPC NO" dataDxfId="74"/>
    <tableColumn id="2" xr3:uid="{ECCC8FB1-12A1-459E-958D-CAB1AD61CD9B}" name="Start Date" dataDxfId="73"/>
    <tableColumn id="3" xr3:uid="{09FDD19B-1A86-4CC4-829E-9A1D353BC30C}" name="Finish Date" dataDxfId="72"/>
    <tableColumn id="4" xr3:uid="{B8BDFEB6-5662-4E75-8692-7C6F913750FA}" name="Company" dataDxfId="71"/>
    <tableColumn id="5" xr3:uid="{C28143A3-6E35-44E3-8088-C213B238F8B7}" name="Company Type" dataDxfId="70"/>
    <tableColumn id="6" xr3:uid="{03E79166-AC76-4A16-929B-4724137ED029}" name="Contract Type" dataDxfId="69"/>
    <tableColumn id="7" xr3:uid="{BF733839-1D1C-4399-BCD0-CA3FA1D6BE2D}" name="Hyberlink" dataDxfId="68"/>
    <tableColumn id="8" xr3:uid="{B2D49891-FF64-4393-85CC-40C9902457C2}" name="Payment Calculation Type" dataDxfId="67"/>
    <tableColumn id="9" xr3:uid="{FC4602C2-DE4D-4308-947A-0C7B1835E483}" name="Column1" dataDxfId="66"/>
    <tableColumn id="10" xr3:uid="{D98E8A0A-C990-427B-89E4-89E7FDDE8682}" name="IPC NO2" dataDxfId="65"/>
    <tableColumn id="11" xr3:uid="{455AA809-1FBD-422B-ACAC-6E2D3EDA3294}" name="Start Date3" dataDxfId="64"/>
    <tableColumn id="12" xr3:uid="{7062FB80-C9EF-4C7C-AEA6-287A51D0F6EE}" name="Finish Date4" dataDxfId="63"/>
    <tableColumn id="13" xr3:uid="{4F738EB1-D7C3-49F1-AED1-53954AFC4293}" name="Company5" dataDxfId="6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88AD9C-C87E-4B8D-BBDA-1D95B43DFFA9}" name="Table4" displayName="Table4" ref="C14:S21" totalsRowShown="0" headerRowDxfId="61" dataDxfId="60">
  <tableColumns count="17">
    <tableColumn id="1" xr3:uid="{A508E9D1-A807-49AA-81AE-DBA3ABDF5141}" name="BOQ Item No" dataDxfId="59"/>
    <tableColumn id="2" xr3:uid="{91DE4B5A-896C-4739-8908-5BB669B23C02}" name="DESCRIPTION" dataDxfId="58"/>
    <tableColumn id="3" xr3:uid="{3D045D4E-2254-49AB-A3BA-A04231D2AE52}" name="UNIT" dataDxfId="57"/>
    <tableColumn id="4" xr3:uid="{EE73BB85-C465-4E10-BD44-15B3ACA50E6A}" name="Quantity As Per Contract" dataDxfId="56"/>
    <tableColumn id="5" xr3:uid="{CC9C02D1-5B18-4CAE-A9CC-A85037F304E5}" name="PRICE (S.R)" dataDxfId="55"/>
    <tableColumn id="6" xr3:uid="{1001AD4F-7C31-418A-AC6C-EE0349B5A665}" name="Amount As Per Contract " dataDxfId="54"/>
    <tableColumn id="7" xr3:uid="{0DBB2CC7-09BA-4370-91F5-D9E1EFFE7385}" name="Previous Performed Quantity" dataDxfId="53"/>
    <tableColumn id="9" xr3:uid="{8EE54867-201B-4F94-8D2D-6D24F85AC3F7}" name="Previous Performed Price" dataDxfId="52"/>
    <tableColumn id="8" xr3:uid="{1FCC4DFD-FF22-44A3-AC06-36004C8B0B83}" name="Previous Performed %" dataDxfId="51"/>
    <tableColumn id="10" xr3:uid="{E9534E80-2A31-4717-9928-15195259836C}" name="Current Performed Quantity" dataDxfId="50"/>
    <tableColumn id="12" xr3:uid="{B78CD9A6-22E4-4978-AACB-ACD54A72A932}" name="Current  Performed Price" dataDxfId="49"/>
    <tableColumn id="11" xr3:uid="{F5D4E758-7061-467C-87D1-86D66D722C51}" name="Current Performed %" dataDxfId="48"/>
    <tableColumn id="13" xr3:uid="{0674CB54-EA41-42BF-847C-5CFC93CFBDCE}" name="Total Performed quantity" dataDxfId="47"/>
    <tableColumn id="15" xr3:uid="{16919D61-9992-4823-822D-4D98387CD0B9}" name="Total Performed Price" dataDxfId="46"/>
    <tableColumn id="14" xr3:uid="{65B6D230-339D-4636-B37D-63876B6CACDB}" name="Total Performed %" dataDxfId="45"/>
    <tableColumn id="16" xr3:uid="{0DE4F520-7965-4DC6-8EE5-ED075144E62D}" name="Notes" dataDxfId="44"/>
    <tableColumn id="17" xr3:uid="{9892BC53-E38C-4BA9-B3F9-F42A0E27F242}" name="Category" dataDxfId="43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2914BD-0BD5-42FF-BC9D-37EFD8AF3313}" name="Client_Ipc_Tracking" displayName="Client_Ipc_Tracking" ref="D10:X18" totalsRowShown="0" headerRowDxfId="42" dataDxfId="41">
  <autoFilter ref="D10:X18" xr:uid="{D02914BD-0BD5-42FF-BC9D-37EFD8AF331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47F9C5B3-72EF-4AAB-A126-D8506F74BA35}" name="IPC NO" dataDxfId="40"/>
    <tableColumn id="2" xr3:uid="{3333FE08-85A7-4544-8629-514CB6EB1500}" name="Start Date" dataDxfId="39"/>
    <tableColumn id="3" xr3:uid="{3F541E47-27DD-44BA-AC9B-E4920C2E9FF8}" name="Finish Date" dataDxfId="38"/>
    <tableColumn id="4" xr3:uid="{F59A61A3-A1EB-4978-8126-FCFF4DEFB5B2}" name="Creation Date &amp; Time" dataDxfId="37"/>
    <tableColumn id="5" xr3:uid="{1EF34587-A6EA-40C4-B261-1B609AF762C1}" name="lx" dataDxfId="36"/>
    <tableColumn id="6" xr3:uid="{9593368C-140E-40B7-BCD5-028875945EB5}" name="Due Date" dataDxfId="35">
      <calculatedColumnFormula>H11+45</calculatedColumnFormula>
    </tableColumn>
    <tableColumn id="7" xr3:uid="{2A323C1F-2DA5-4DAE-9BAA-B95256EB4A69}" name="Previous Amount" dataDxfId="34"/>
    <tableColumn id="19" xr3:uid="{AF4B9861-84A7-42D4-8F63-8CA826F71543}" name="Previous %" dataDxfId="33"/>
    <tableColumn id="8" xr3:uid="{7A7D7703-5E91-4D50-83AE-78962489491A}" name="Current Amount" dataDxfId="32"/>
    <tableColumn id="20" xr3:uid="{71DF5B90-1FD0-45D3-B9CF-D05C0B69247F}" name="Current %" dataDxfId="31"/>
    <tableColumn id="9" xr3:uid="{5EA4FFE3-7B21-4A5F-80FC-A01E162C209F}" name="Total Amount Up To Date" dataDxfId="30"/>
    <tableColumn id="21" xr3:uid="{63EF2BCB-2843-463E-ABBE-A7D61BFC77D9}" name="Total %" dataDxfId="29"/>
    <tableColumn id="10" xr3:uid="{858CED23-559D-4798-8219-46F116F954C0}" name="Advanced Payment Deduction" dataDxfId="28">
      <calculatedColumnFormula>IF(SUM($P$10:P10)&gt;=$I$6,0,MIN(N11*$I$7,$I$6-SUM($P$10:P10)))</calculatedColumnFormula>
    </tableColumn>
    <tableColumn id="11" xr3:uid="{80A90A71-8D73-46B8-94BA-C9FBF4D9E307}" name="  Amount after Advanced Payment Deduction For This Month" dataDxfId="27">
      <calculatedColumnFormula>N11-P11</calculatedColumnFormula>
    </tableColumn>
    <tableColumn id="12" xr3:uid="{ECC9EEA0-9006-45D1-B10C-B3469E4D48C6}" name="VAT Amount  15% For This Month" dataDxfId="26">
      <calculatedColumnFormula>0.15*Q11</calculatedColumnFormula>
    </tableColumn>
    <tableColumn id="13" xr3:uid="{2CB75DCA-1AE1-4FB5-ADE9-1ED4B1BA0450}" name="      Current amount including VAT 15%" dataDxfId="25">
      <calculatedColumnFormula>Q11+R11</calculatedColumnFormula>
    </tableColumn>
    <tableColumn id="14" xr3:uid="{A74FF276-E01E-4DF7-92DE-D8C66F38E7BD}" name=" Retention Deduction" dataDxfId="24">
      <calculatedColumnFormula>N11*$I$8</calculatedColumnFormula>
    </tableColumn>
    <tableColumn id="15" xr3:uid="{21F7EAFD-5EA5-44CA-9EE4-6E868673F7E2}" name="  NET Payable For This Month Including VAT 15%" dataDxfId="23">
      <calculatedColumnFormula>S11-T11</calculatedColumnFormula>
    </tableColumn>
    <tableColumn id="16" xr3:uid="{887A037A-47A8-40C8-BFAB-CB9257F5D662}" name="Payment Status" dataDxfId="22"/>
    <tableColumn id="17" xr3:uid="{5BDAF0FF-88D2-425F-87E6-49610E67FC77}" name="Payment Time Track" dataDxfId="21">
      <calculatedColumnFormula array="1">_xlfn.IFS(
V11="Delivered","Ok",
TODAY()&gt;I11,"Overdue "&amp;(TODAY()-I11)&amp;" Days",
TODAY()=I11,"Due Today",
TODAY()&lt;I11,"Due Through "&amp;(I11-TODAY())&amp;" Days"
)</calculatedColumnFormula>
    </tableColumn>
    <tableColumn id="22" xr3:uid="{9457B57A-D452-4A3C-BA6F-ADF92514DB25}" name="FilePat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A5AEDD-E7BB-4A65-974E-646DD67BD670}" name="Variation_Tracking" displayName="Variation_Tracking" ref="D7:L13" totalsRowCount="1" headerRowDxfId="19" dataDxfId="18">
  <autoFilter ref="D7:L12" xr:uid="{DAA5AEDD-E7BB-4A65-974E-646DD67BD6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D65492E-EEFC-41E1-8831-FB1FF18CCB58}" name="Change Order No." totalsRowLabel="Total" dataDxfId="17" totalsRowDxfId="16"/>
    <tableColumn id="2" xr3:uid="{588272B6-5BEC-422E-9536-C60B0FBDC895}" name="Description" dataDxfId="15" totalsRowDxfId="14"/>
    <tableColumn id="3" xr3:uid="{2A85C59F-17DC-496E-8E77-2F2EA994E930}" name="Submittal Date" dataDxfId="13" totalsRowDxfId="12"/>
    <tableColumn id="4" xr3:uid="{6B1CF0BD-94EF-487C-BF95-0559E0343DD6}" name="Approval Date" dataDxfId="11" totalsRowDxfId="10"/>
    <tableColumn id="5" xr3:uid="{851A16F9-6F51-475B-8F04-6244BBE0811D}" name="Amount (SAR)" totalsRowFunction="sum" dataDxfId="9" totalsRowDxfId="8"/>
    <tableColumn id="6" xr3:uid="{2C399B53-203D-4A97-ADF6-47BF1545AD38}" name="Duration" totalsRowFunction="sum" dataDxfId="7" totalsRowDxfId="6"/>
    <tableColumn id="7" xr3:uid="{7C139770-312F-4FF6-9E8E-1B24D9976764}" name="Type" dataDxfId="5" totalsRowDxfId="4"/>
    <tableColumn id="8" xr3:uid="{B0F53E29-83A0-49CA-8715-F239388CF6D7}" name="VAT Status" dataDxfId="3" totalsRowDxfId="2"/>
    <tableColumn id="9" xr3:uid="{2663E7CF-6E24-47AF-A4F8-7C17EC34395C}" name="Remarks" dataDxfId="1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  <wetp:taskpane dockstate="right" visibility="0" width="70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4BFC871-653F-4D1C-81A7-A81494F0335D}">
  <we:reference id="wa200005502" version="1.0.0.13" store="en-US" storeType="OMEX"/>
  <we:alternateReferences>
    <we:reference id="wa200005502" version="1.0.0.13" store="wa200005502" storeType="OMEX"/>
  </we:alternateReferences>
  <we:properties>
    <we:property name="docId" value="&quot;XRPGNnNWlpJi9GfoIjtNT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  <we:customFunctionIds>_xldudf_GPT_CREATE_PROMPT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58CF2FA-A56C-4AFD-B71A-0AA81610CC1E}">
  <we:reference id="wa200003696" version="1.3.0.0" store="en-US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dmin@202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23"/>
  <sheetViews>
    <sheetView topLeftCell="A8" workbookViewId="0"/>
  </sheetViews>
  <sheetFormatPr defaultRowHeight="14.25"/>
  <cols>
    <col min="1" max="1" width="4" customWidth="1"/>
    <col min="2" max="2" width="6" customWidth="1"/>
    <col min="3" max="3" width="30" customWidth="1"/>
    <col min="4" max="4" width="35" customWidth="1"/>
    <col min="5" max="5" width="6" customWidth="1"/>
    <col min="6" max="6" width="4" customWidth="1"/>
  </cols>
  <sheetData>
    <row r="1" spans="2:6" ht="26" customHeight="1"/>
    <row r="2" spans="2:6" ht="32" customHeight="1">
      <c r="B2" s="134" t="s">
        <v>0</v>
      </c>
      <c r="C2" s="135"/>
      <c r="D2" s="135"/>
      <c r="E2" s="135"/>
      <c r="F2" s="135"/>
    </row>
    <row r="3" spans="2:6" ht="32" customHeight="1">
      <c r="B3" s="135"/>
      <c r="C3" s="135"/>
      <c r="D3" s="135"/>
      <c r="E3" s="135"/>
      <c r="F3" s="135"/>
    </row>
    <row r="4" spans="2:6" ht="26" customHeight="1">
      <c r="B4" s="135"/>
      <c r="C4" s="135"/>
      <c r="D4" s="135"/>
      <c r="E4" s="135"/>
      <c r="F4" s="135"/>
    </row>
    <row r="5" spans="2:6" ht="26" customHeight="1"/>
    <row r="6" spans="2:6" ht="26" customHeight="1">
      <c r="B6" s="1"/>
      <c r="C6" s="1"/>
      <c r="D6" s="1"/>
      <c r="E6" s="1"/>
      <c r="F6" s="1"/>
    </row>
    <row r="7" spans="2:6" ht="26" customHeight="1">
      <c r="B7" s="1"/>
      <c r="C7" s="1"/>
      <c r="D7" s="1"/>
      <c r="E7" s="1"/>
      <c r="F7" s="1"/>
    </row>
    <row r="8" spans="2:6" ht="35" customHeight="1">
      <c r="B8" s="1"/>
      <c r="C8" s="2" t="s">
        <v>1</v>
      </c>
      <c r="D8" s="3" t="s">
        <v>2</v>
      </c>
      <c r="E8" s="1"/>
      <c r="F8" s="1"/>
    </row>
    <row r="9" spans="2:6" ht="26" customHeight="1">
      <c r="B9" s="1"/>
      <c r="C9" s="1"/>
      <c r="D9" s="1"/>
      <c r="E9" s="1"/>
      <c r="F9" s="1"/>
    </row>
    <row r="10" spans="2:6" ht="35" customHeight="1">
      <c r="B10" s="1"/>
      <c r="C10" s="2" t="s">
        <v>3</v>
      </c>
      <c r="D10" s="3" t="s">
        <v>4</v>
      </c>
      <c r="E10" s="1"/>
      <c r="F10" s="1"/>
    </row>
    <row r="11" spans="2:6" ht="26" customHeight="1">
      <c r="B11" s="1"/>
      <c r="C11" s="1"/>
      <c r="D11" s="1"/>
      <c r="E11" s="1"/>
      <c r="F11" s="1"/>
    </row>
    <row r="12" spans="2:6" ht="26" customHeight="1">
      <c r="B12" s="1"/>
      <c r="C12" s="1"/>
      <c r="D12" s="1"/>
      <c r="E12" s="1"/>
      <c r="F12" s="1"/>
    </row>
    <row r="13" spans="2:6" ht="35" customHeight="1">
      <c r="B13" s="1"/>
      <c r="C13" s="2" t="s">
        <v>5</v>
      </c>
      <c r="D13" s="3" t="s">
        <v>6</v>
      </c>
      <c r="E13" s="1"/>
      <c r="F13" s="1"/>
    </row>
    <row r="14" spans="2:6" ht="26" customHeight="1">
      <c r="B14" s="1"/>
      <c r="C14" s="1"/>
      <c r="D14" s="1"/>
      <c r="E14" s="1"/>
      <c r="F14" s="1"/>
    </row>
    <row r="15" spans="2:6" ht="35" customHeight="1">
      <c r="B15" s="1"/>
      <c r="C15" s="2" t="s">
        <v>7</v>
      </c>
      <c r="D15" s="28" t="s">
        <v>184</v>
      </c>
      <c r="E15" s="1"/>
      <c r="F15" s="1"/>
    </row>
    <row r="16" spans="2:6" ht="26" customHeight="1">
      <c r="B16" s="1"/>
      <c r="C16" s="1"/>
      <c r="D16" s="1"/>
      <c r="E16" s="1"/>
      <c r="F16" s="1"/>
    </row>
    <row r="17" spans="2:6" ht="26" customHeight="1">
      <c r="B17" s="1"/>
      <c r="C17" s="1"/>
      <c r="D17" s="1"/>
      <c r="E17" s="1"/>
      <c r="F17" s="1"/>
    </row>
    <row r="18" spans="2:6" ht="40.049999999999997" customHeight="1">
      <c r="B18" s="1"/>
      <c r="C18" s="130" t="s">
        <v>8</v>
      </c>
      <c r="D18" s="131"/>
      <c r="E18" s="131"/>
      <c r="F18" s="1"/>
    </row>
    <row r="19" spans="2:6" ht="26" customHeight="1">
      <c r="B19" s="1"/>
      <c r="C19" s="1"/>
      <c r="D19" s="1"/>
      <c r="E19" s="1"/>
      <c r="F19" s="1"/>
    </row>
    <row r="20" spans="2:6" ht="40.049999999999997" customHeight="1">
      <c r="B20" s="1"/>
      <c r="C20" s="132" t="s">
        <v>9</v>
      </c>
      <c r="D20" s="133"/>
      <c r="E20" s="133"/>
      <c r="F20" s="1"/>
    </row>
    <row r="21" spans="2:6" ht="26" customHeight="1">
      <c r="B21" s="1"/>
      <c r="C21" s="1"/>
      <c r="D21" s="1"/>
      <c r="E21" s="1"/>
      <c r="F21" s="1"/>
    </row>
    <row r="22" spans="2:6" ht="26" customHeight="1">
      <c r="B22" s="1"/>
      <c r="C22" s="1"/>
      <c r="D22" s="1"/>
      <c r="E22" s="1"/>
      <c r="F22" s="1"/>
    </row>
    <row r="23" spans="2:6" ht="26" customHeight="1"/>
  </sheetData>
  <mergeCells count="3">
    <mergeCell ref="C18:E18"/>
    <mergeCell ref="C20:E20"/>
    <mergeCell ref="B2:F4"/>
  </mergeCells>
  <hyperlinks>
    <hyperlink ref="D15" r:id="rId1" xr:uid="{449E7EE2-A240-401E-9239-9271BDD56AAF}"/>
  </hyperlinks>
  <pageMargins left="0.75" right="0.75" top="1" bottom="1" header="0.5" footer="0.5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7"/>
  <sheetViews>
    <sheetView tabSelected="1" topLeftCell="A2" workbookViewId="0">
      <selection activeCell="G4" sqref="G4"/>
    </sheetView>
  </sheetViews>
  <sheetFormatPr defaultRowHeight="14.25"/>
  <cols>
    <col min="1" max="1" width="3" customWidth="1"/>
    <col min="2" max="2" width="39.53125" customWidth="1"/>
    <col min="3" max="3" width="3" customWidth="1"/>
    <col min="4" max="4" width="26.6640625" bestFit="1" customWidth="1"/>
    <col min="5" max="5" width="39.265625" customWidth="1"/>
    <col min="6" max="6" width="1.796875" customWidth="1"/>
    <col min="7" max="7" width="27.9296875" bestFit="1" customWidth="1"/>
    <col min="8" max="8" width="18.796875" customWidth="1"/>
    <col min="9" max="10" width="4.265625" customWidth="1"/>
    <col min="12" max="12" width="16.59765625" bestFit="1" customWidth="1"/>
  </cols>
  <sheetData>
    <row r="1" spans="1:8" ht="24" customHeight="1">
      <c r="A1" s="127"/>
    </row>
    <row r="2" spans="1:8" ht="24" customHeight="1">
      <c r="A2" s="128"/>
    </row>
    <row r="3" spans="1:8" ht="24" customHeight="1"/>
    <row r="4" spans="1:8" ht="24" customHeight="1"/>
    <row r="5" spans="1:8" ht="24" customHeight="1"/>
    <row r="6" spans="1:8" ht="33.4" customHeight="1"/>
    <row r="7" spans="1:8" ht="24" customHeight="1">
      <c r="B7" t="s">
        <v>18</v>
      </c>
    </row>
    <row r="8" spans="1:8" ht="53.65" customHeight="1">
      <c r="D8" t="s">
        <v>315</v>
      </c>
      <c r="E8" t="s">
        <v>326</v>
      </c>
      <c r="G8" t="s">
        <v>322</v>
      </c>
      <c r="H8" s="72">
        <v>47334</v>
      </c>
    </row>
    <row r="9" spans="1:8" ht="32.35" customHeight="1">
      <c r="D9" t="s">
        <v>316</v>
      </c>
      <c r="E9" t="s">
        <v>327</v>
      </c>
      <c r="G9" t="s">
        <v>323</v>
      </c>
      <c r="H9" s="72">
        <v>47334</v>
      </c>
    </row>
    <row r="10" spans="1:8" ht="32.35" customHeight="1">
      <c r="D10" t="s">
        <v>317</v>
      </c>
      <c r="E10" t="s">
        <v>328</v>
      </c>
      <c r="G10" t="s">
        <v>324</v>
      </c>
      <c r="H10" s="129">
        <v>0.15</v>
      </c>
    </row>
    <row r="11" spans="1:8" ht="32.35" customHeight="1">
      <c r="D11" t="s">
        <v>318</v>
      </c>
      <c r="E11" t="s">
        <v>329</v>
      </c>
      <c r="G11" t="s">
        <v>325</v>
      </c>
      <c r="H11" s="129">
        <v>0.1</v>
      </c>
    </row>
    <row r="12" spans="1:8" ht="32.35" customHeight="1">
      <c r="D12" t="s">
        <v>319</v>
      </c>
      <c r="E12" t="s">
        <v>330</v>
      </c>
      <c r="G12" t="s">
        <v>332</v>
      </c>
      <c r="H12" t="s">
        <v>14</v>
      </c>
    </row>
    <row r="13" spans="1:8" ht="32.35" customHeight="1">
      <c r="D13" t="s">
        <v>321</v>
      </c>
      <c r="E13" s="72">
        <v>43891</v>
      </c>
      <c r="G13" t="s">
        <v>333</v>
      </c>
      <c r="H13" s="73">
        <f>Variation_Tracking[[#Totals],[Amount (SAR)]]</f>
        <v>55588556.380000003</v>
      </c>
    </row>
    <row r="14" spans="1:8" ht="33.4" customHeight="1">
      <c r="D14" t="s">
        <v>320</v>
      </c>
      <c r="E14" s="74">
        <v>545</v>
      </c>
      <c r="G14" t="s">
        <v>334</v>
      </c>
      <c r="H14" s="74">
        <f>Variation_Tracking[[#Totals],[Duration]]</f>
        <v>180</v>
      </c>
    </row>
    <row r="15" spans="1:8" ht="33.4" customHeight="1">
      <c r="D15" t="s">
        <v>331</v>
      </c>
      <c r="E15" s="72">
        <f>E13+E14</f>
        <v>44436</v>
      </c>
      <c r="G15" t="s">
        <v>336</v>
      </c>
      <c r="H15" s="72">
        <f>E15+H14</f>
        <v>44616</v>
      </c>
    </row>
    <row r="16" spans="1:8" ht="33.4" customHeight="1">
      <c r="D16" t="s">
        <v>15</v>
      </c>
      <c r="E16" s="73">
        <v>194206333.91</v>
      </c>
      <c r="G16" t="s">
        <v>335</v>
      </c>
      <c r="H16" s="73">
        <f>E16+H13</f>
        <v>249794890.28999999</v>
      </c>
    </row>
    <row r="17" spans="4:8" ht="33.4" customHeight="1">
      <c r="D17" t="s">
        <v>16</v>
      </c>
      <c r="E17" t="s">
        <v>17</v>
      </c>
      <c r="G17" t="s">
        <v>337</v>
      </c>
      <c r="H17" s="129">
        <v>0.05</v>
      </c>
    </row>
    <row r="18" spans="4:8" ht="33.4" customHeight="1"/>
    <row r="19" spans="4:8" ht="33.4" customHeight="1"/>
    <row r="20" spans="4:8" ht="33.4" customHeight="1"/>
    <row r="21" spans="4:8" ht="33.4" customHeight="1"/>
    <row r="22" spans="4:8" ht="33.4" customHeight="1"/>
    <row r="23" spans="4:8" ht="33.4" customHeight="1"/>
    <row r="24" spans="4:8" ht="33.4" customHeight="1"/>
    <row r="25" spans="4:8" ht="33.4" customHeight="1"/>
    <row r="26" spans="4:8" ht="33.4" customHeight="1"/>
    <row r="27" spans="4:8" ht="33.4" customHeight="1"/>
  </sheetData>
  <printOptions horizontalCentered="1" verticalCentered="1"/>
  <pageMargins left="0.25" right="0.25" top="0.75" bottom="0.75" header="0.3" footer="0.3"/>
  <pageSetup paperSize="9" fitToWidth="0" fitToHeight="0" orientation="landscape" r:id="rId1"/>
  <rowBreaks count="1" manualBreakCount="1">
    <brk id="15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"/>
  <sheetViews>
    <sheetView zoomScale="55" zoomScaleNormal="55" workbookViewId="0">
      <selection activeCell="L37" sqref="L37"/>
    </sheetView>
  </sheetViews>
  <sheetFormatPr defaultRowHeight="14.25"/>
  <cols>
    <col min="1" max="1" width="1.46484375" customWidth="1"/>
    <col min="2" max="2" width="35.3984375" customWidth="1"/>
    <col min="3" max="10" width="8.73046875" customWidth="1"/>
  </cols>
  <sheetData>
    <row r="1" spans="1:26" ht="30.75">
      <c r="A1" s="105" t="s">
        <v>390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</row>
    <row r="2" spans="1:26" ht="24" customHeight="1">
      <c r="A2" s="106" t="s">
        <v>391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</row>
    <row r="3" spans="1:26" ht="24" customHeight="1">
      <c r="A3" s="104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</row>
    <row r="4" spans="1:26" ht="30" customHeigh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</row>
    <row r="5" spans="1:26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</row>
    <row r="6" spans="1:26">
      <c r="A6" s="104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</row>
    <row r="7" spans="1:26">
      <c r="A7" s="104"/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</row>
    <row r="8" spans="1:26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</row>
    <row r="9" spans="1:26">
      <c r="A9" s="104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</row>
    <row r="10" spans="1:26">
      <c r="A10" s="104"/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</row>
    <row r="11" spans="1:26">
      <c r="A11" s="104"/>
      <c r="B11" s="104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</row>
    <row r="12" spans="1:26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26">
      <c r="A13" s="104"/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26">
      <c r="A14" s="104"/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26">
      <c r="A15" s="104"/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26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>
      <c r="A17" s="104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>
      <c r="A22" s="104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>
      <c r="A23" s="104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>
      <c r="A24" s="104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>
      <c r="A25" s="104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>
      <c r="A26" s="10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>
      <c r="A29" s="10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>
      <c r="A33" s="104"/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>
      <c r="A34" s="104"/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>
      <c r="A35" s="104"/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>
      <c r="A36" s="104"/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>
      <c r="A37" s="104"/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>
      <c r="A38" s="104"/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>
      <c r="A39" s="104"/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>
      <c r="A40" s="104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>
      <c r="A41" s="104"/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>
      <c r="A42" s="104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>
      <c r="A43" s="104"/>
      <c r="B43" s="104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>
      <c r="A44" s="104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>
      <c r="A45" s="104"/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>
      <c r="A46" s="104"/>
      <c r="B46" s="104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>
      <c r="A47" s="10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>
      <c r="A48" s="10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>
      <c r="A49" s="104"/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>
      <c r="A50" s="10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>
      <c r="A51" s="10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>
      <c r="A52" s="104"/>
      <c r="B52" s="104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>
      <c r="A53" s="104"/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>
      <c r="A54" s="104"/>
      <c r="B54" s="104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>
      <c r="A55" s="104"/>
      <c r="B55" s="104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>
      <c r="A56" s="104"/>
      <c r="B56" s="104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>
      <c r="A57" s="104"/>
      <c r="B57" s="104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>
      <c r="A58" s="104"/>
      <c r="B58" s="104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>
      <c r="A59" s="104"/>
      <c r="B59" s="104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>
      <c r="A60" s="104"/>
      <c r="B60" s="104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>
      <c r="A61" s="104"/>
      <c r="B61" s="104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>
      <c r="A62" s="104"/>
      <c r="B62" s="104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>
      <c r="A63" s="104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>
      <c r="A64" s="104"/>
      <c r="B64" s="104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>
      <c r="A65" s="104"/>
      <c r="B65" s="104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>
      <c r="A66" s="104"/>
      <c r="B66" s="104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>
      <c r="A67" s="104"/>
      <c r="B67" s="104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>
      <c r="A68" s="104"/>
      <c r="B68" s="104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>
      <c r="A69" s="104"/>
      <c r="B69" s="104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>
      <c r="A70" s="104"/>
      <c r="B70" s="104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>
      <c r="A71" s="104"/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>
      <c r="A73" s="104"/>
      <c r="B73" s="104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>
      <c r="A74" s="104"/>
      <c r="B74" s="104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>
      <c r="A75" s="104"/>
      <c r="B75" s="104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>
      <c r="A76" s="104"/>
      <c r="B76" s="104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>
      <c r="A77" s="104"/>
      <c r="B77" s="104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>
      <c r="A78" s="104"/>
      <c r="B78" s="104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>
      <c r="A79" s="104"/>
      <c r="B79" s="104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>
      <c r="A80" s="104"/>
      <c r="B80" s="104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>
      <c r="A81" s="104"/>
      <c r="B81" s="104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>
      <c r="A82" s="104"/>
      <c r="B82" s="104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>
      <c r="A83" s="104"/>
      <c r="B83" s="104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>
      <c r="A84" s="104"/>
      <c r="B84" s="104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>
      <c r="A85" s="104"/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>
      <c r="A86" s="104"/>
      <c r="B86" s="104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>
      <c r="A87" s="104"/>
      <c r="B87" s="104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>
      <c r="A88" s="104"/>
      <c r="B88" s="104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>
      <c r="A89" s="104"/>
      <c r="B89" s="104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>
      <c r="A90" s="104"/>
      <c r="B90" s="104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>
      <c r="A91" s="104"/>
      <c r="B91" s="104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>
      <c r="A92" s="104"/>
      <c r="B92" s="104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>
      <c r="A93" s="104"/>
      <c r="B93" s="104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>
      <c r="A94" s="104"/>
      <c r="B94" s="104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>
      <c r="A95" s="104"/>
      <c r="B95" s="104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>
      <c r="A96" s="104"/>
      <c r="B96" s="104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>
      <c r="A97" s="104"/>
      <c r="B97" s="104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>
      <c r="A99" s="104"/>
      <c r="B99" s="104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</sheetData>
  <pageMargins left="0.25" right="0.25" top="0.75" bottom="0.7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2:R93"/>
  <sheetViews>
    <sheetView topLeftCell="E7" workbookViewId="0">
      <selection activeCell="E7" sqref="E7"/>
    </sheetView>
  </sheetViews>
  <sheetFormatPr defaultRowHeight="14.25"/>
  <cols>
    <col min="1" max="1" width="1.3984375" customWidth="1"/>
    <col min="2" max="2" width="34" customWidth="1"/>
    <col min="3" max="3" width="13.06640625" bestFit="1" customWidth="1"/>
    <col min="4" max="4" width="9.33203125" customWidth="1"/>
    <col min="5" max="5" width="11.9296875" customWidth="1"/>
    <col min="6" max="6" width="49.06640625" bestFit="1" customWidth="1"/>
    <col min="7" max="7" width="9.33203125" customWidth="1"/>
    <col min="8" max="8" width="17.46484375" bestFit="1" customWidth="1"/>
    <col min="9" max="9" width="13.6640625" bestFit="1" customWidth="1"/>
    <col min="10" max="10" width="18.9296875" bestFit="1" customWidth="1"/>
    <col min="11" max="11" width="13.53125" bestFit="1" customWidth="1"/>
    <col min="12" max="12" width="10.6640625" customWidth="1"/>
    <col min="13" max="13" width="15.9296875" bestFit="1" customWidth="1"/>
    <col min="14" max="14" width="16.6640625" bestFit="1" customWidth="1"/>
    <col min="15" max="15" width="12.3984375" bestFit="1" customWidth="1"/>
  </cols>
  <sheetData>
    <row r="2" spans="2:18" ht="24" customHeight="1">
      <c r="B2" s="15"/>
      <c r="C2" s="136" t="s">
        <v>10</v>
      </c>
      <c r="D2" s="136"/>
      <c r="E2" s="136"/>
      <c r="F2" s="136"/>
      <c r="G2" s="15"/>
      <c r="H2" s="15"/>
      <c r="I2" s="15"/>
      <c r="J2" s="15"/>
      <c r="K2" s="16"/>
      <c r="L2" s="16"/>
      <c r="M2" s="136" t="s">
        <v>12</v>
      </c>
      <c r="N2" s="137"/>
      <c r="O2" s="137"/>
    </row>
    <row r="3" spans="2:18" ht="24" customHeight="1">
      <c r="B3" s="15"/>
      <c r="C3" s="136"/>
      <c r="D3" s="136"/>
      <c r="E3" s="136"/>
      <c r="F3" s="136"/>
      <c r="G3" s="15"/>
      <c r="H3" s="15"/>
      <c r="I3" s="15"/>
      <c r="J3" s="15"/>
      <c r="K3" s="16"/>
      <c r="L3" s="16"/>
      <c r="M3" s="137"/>
      <c r="N3" s="137"/>
      <c r="O3" s="137"/>
    </row>
    <row r="4" spans="2:18" ht="24" customHeight="1">
      <c r="B4" s="15"/>
      <c r="C4" s="136"/>
      <c r="D4" s="136"/>
      <c r="E4" s="136"/>
      <c r="F4" s="136"/>
      <c r="G4" s="15"/>
      <c r="H4" s="15"/>
      <c r="I4" s="15"/>
      <c r="J4" s="15"/>
      <c r="K4" s="16"/>
      <c r="L4" s="16"/>
      <c r="M4" s="137"/>
      <c r="N4" s="137"/>
      <c r="O4" s="137"/>
    </row>
    <row r="6" spans="2:18" ht="40.9" customHeight="1">
      <c r="C6" s="14" t="s">
        <v>30</v>
      </c>
      <c r="D6" s="14" t="s">
        <v>19</v>
      </c>
      <c r="E6" s="14" t="s">
        <v>20</v>
      </c>
      <c r="F6" s="14" t="s">
        <v>21</v>
      </c>
      <c r="G6" s="14" t="s">
        <v>22</v>
      </c>
      <c r="H6" s="19" t="s">
        <v>23</v>
      </c>
      <c r="I6" s="19" t="s">
        <v>24</v>
      </c>
      <c r="J6" s="19" t="s">
        <v>25</v>
      </c>
      <c r="K6" s="20" t="s">
        <v>172</v>
      </c>
      <c r="L6" s="20" t="s">
        <v>173</v>
      </c>
      <c r="M6" s="21" t="s">
        <v>26</v>
      </c>
      <c r="N6" s="21" t="s">
        <v>28</v>
      </c>
      <c r="O6" s="21" t="s">
        <v>27</v>
      </c>
      <c r="P6" s="21" t="s">
        <v>29</v>
      </c>
      <c r="Q6" s="6"/>
      <c r="R6" s="6"/>
    </row>
    <row r="7" spans="2:18" ht="25.9" customHeight="1">
      <c r="C7" s="10">
        <v>20101</v>
      </c>
      <c r="D7" s="10"/>
      <c r="E7" s="10" t="s">
        <v>43</v>
      </c>
      <c r="F7" s="29" t="s">
        <v>89</v>
      </c>
      <c r="G7" s="10" t="s">
        <v>90</v>
      </c>
      <c r="H7" s="13">
        <v>2862758.86</v>
      </c>
      <c r="I7" s="13">
        <v>4.5</v>
      </c>
      <c r="J7" s="13">
        <f>H7*I7</f>
        <v>12882414.869999999</v>
      </c>
      <c r="K7" s="13" t="s">
        <v>289</v>
      </c>
      <c r="L7" s="13" t="s">
        <v>46</v>
      </c>
      <c r="M7" s="13" cm="1">
        <f t="array" ref="M7">SUMPRODUCT((BOQ[[#This Row],[BOQ Item No]]='WIR Tracking'!$H$7:$H$30)*('WIR Tracking'!$P$7:$P$30="OK")*(('WIR Tracking'!$R$7:$R$30="A - Approved")+('WIR Tracking'!$R$7:$R$30="B - Approved as Noted"))*'WIR Tracking'!$O$7:$O$30)</f>
        <v>1145103.544</v>
      </c>
      <c r="N7" s="13">
        <f>BOQ[[#This Row],[Cumulative Executed Qty]]*BOQ[[#This Row],[Contract Rate (SAR)]]</f>
        <v>5152965.9479999999</v>
      </c>
      <c r="O7" s="13">
        <f>BOQ[[#This Row],[Contract Qty]]-BOQ[[#This Row],[Cumulative Executed Qty]]</f>
        <v>1717655.3159999999</v>
      </c>
      <c r="P7" s="11">
        <f>BOQ[[#This Row],[Executed Amount (SAR)]]/BOQ[[#This Row],[Contract Amount (SAR)]]</f>
        <v>0.4</v>
      </c>
    </row>
    <row r="8" spans="2:18" ht="25.9" customHeight="1">
      <c r="C8" s="10">
        <v>20301</v>
      </c>
      <c r="D8" s="10"/>
      <c r="E8" s="10" t="s">
        <v>43</v>
      </c>
      <c r="F8" s="29" t="s">
        <v>91</v>
      </c>
      <c r="G8" s="10" t="s">
        <v>44</v>
      </c>
      <c r="H8" s="13">
        <v>2525972.89</v>
      </c>
      <c r="I8" s="13">
        <v>10.35</v>
      </c>
      <c r="J8" s="13">
        <f>H8*I8</f>
        <v>26143819.411499999</v>
      </c>
      <c r="K8" s="13" t="s">
        <v>289</v>
      </c>
      <c r="L8" s="13" t="s">
        <v>46</v>
      </c>
      <c r="M8" s="13" cm="1">
        <f t="array" ref="M8">SUMPRODUCT((BOQ[[#This Row],[BOQ Item No]]='WIR Tracking'!$H$7:$H$30)*('WIR Tracking'!$P$7:$P$30="OK")*(('WIR Tracking'!$R$7:$R$30="A - Approved")+('WIR Tracking'!$R$7:$R$30="B - Approved as Noted"))*'WIR Tracking'!$O$7:$O$30)</f>
        <v>561327.30888888892</v>
      </c>
      <c r="N8" s="13">
        <f>BOQ[[#This Row],[Cumulative Executed Qty]]*BOQ[[#This Row],[Contract Rate (SAR)]]</f>
        <v>5809737.6469999999</v>
      </c>
      <c r="O8" s="13">
        <f>BOQ[[#This Row],[Contract Qty]]-BOQ[[#This Row],[Cumulative Executed Qty]]</f>
        <v>1964645.5811111112</v>
      </c>
      <c r="P8" s="11">
        <f>BOQ[[#This Row],[Executed Amount (SAR)]]/BOQ[[#This Row],[Contract Amount (SAR)]]</f>
        <v>0.22222222222222221</v>
      </c>
    </row>
    <row r="9" spans="2:18" ht="25.9" customHeight="1">
      <c r="C9" s="10">
        <v>20501</v>
      </c>
      <c r="D9" s="10"/>
      <c r="E9" s="10" t="s">
        <v>43</v>
      </c>
      <c r="F9" s="29" t="s">
        <v>92</v>
      </c>
      <c r="G9" s="10" t="s">
        <v>44</v>
      </c>
      <c r="H9" s="13">
        <v>2324626.0299999998</v>
      </c>
      <c r="I9" s="13">
        <v>14.1</v>
      </c>
      <c r="J9" s="13">
        <f t="shared" ref="J9:J51" si="0">H9*I9</f>
        <v>32777227.022999994</v>
      </c>
      <c r="K9" s="13" t="s">
        <v>289</v>
      </c>
      <c r="L9" s="13" t="s">
        <v>46</v>
      </c>
      <c r="M9" s="13" cm="1">
        <f t="array" ref="M9">SUMPRODUCT((BOQ[[#This Row],[BOQ Item No]]='WIR Tracking'!$H$7:$H$30)*('WIR Tracking'!$P$7:$P$30="OK")*(('WIR Tracking'!$R$7:$R$30="A - Approved")+('WIR Tracking'!$R$7:$R$30="B - Approved as Noted"))*'WIR Tracking'!$O$7:$O$30)</f>
        <v>211329.63909090907</v>
      </c>
      <c r="N9" s="13">
        <f>BOQ[[#This Row],[Cumulative Executed Qty]]*BOQ[[#This Row],[Contract Rate (SAR)]]</f>
        <v>2979747.9111818178</v>
      </c>
      <c r="O9" s="13">
        <f>BOQ[[#This Row],[Contract Qty]]-BOQ[[#This Row],[Cumulative Executed Qty]]</f>
        <v>2113296.3909090906</v>
      </c>
      <c r="P9" s="11">
        <f>BOQ[[#This Row],[Executed Amount (SAR)]]/BOQ[[#This Row],[Contract Amount (SAR)]]</f>
        <v>9.0909090909090912E-2</v>
      </c>
    </row>
    <row r="10" spans="2:18" ht="25.9" customHeight="1">
      <c r="C10" s="10">
        <v>2090101</v>
      </c>
      <c r="D10" s="10"/>
      <c r="E10" s="10" t="s">
        <v>43</v>
      </c>
      <c r="F10" s="29" t="s">
        <v>93</v>
      </c>
      <c r="G10" s="10" t="s">
        <v>44</v>
      </c>
      <c r="H10" s="13">
        <v>145000</v>
      </c>
      <c r="I10" s="13">
        <v>30.5</v>
      </c>
      <c r="J10" s="13">
        <f t="shared" si="0"/>
        <v>4422500</v>
      </c>
      <c r="K10" s="13" t="s">
        <v>289</v>
      </c>
      <c r="L10" s="13" t="s">
        <v>46</v>
      </c>
      <c r="M10" s="13" cm="1">
        <f t="array" ref="M10">SUMPRODUCT((BOQ[[#This Row],[BOQ Item No]]='WIR Tracking'!$H$7:$H$30)*('WIR Tracking'!$P$7:$P$30="OK")*(('WIR Tracking'!$R$7:$R$30="A - Approved")+('WIR Tracking'!$R$7:$R$30="B - Approved as Noted"))*'WIR Tracking'!$O$7:$O$30)</f>
        <v>0</v>
      </c>
      <c r="N10" s="13">
        <f>BOQ[[#This Row],[Cumulative Executed Qty]]*BOQ[[#This Row],[Contract Rate (SAR)]]</f>
        <v>0</v>
      </c>
      <c r="O10" s="13">
        <f>BOQ[[#This Row],[Contract Qty]]-BOQ[[#This Row],[Cumulative Executed Qty]]</f>
        <v>145000</v>
      </c>
      <c r="P10" s="11">
        <f>BOQ[[#This Row],[Executed Amount (SAR)]]/BOQ[[#This Row],[Contract Amount (SAR)]]</f>
        <v>0</v>
      </c>
    </row>
    <row r="11" spans="2:18" ht="25.9" customHeight="1">
      <c r="C11" s="10">
        <v>2090103</v>
      </c>
      <c r="D11" s="10"/>
      <c r="E11" s="10" t="s">
        <v>43</v>
      </c>
      <c r="F11" s="29" t="s">
        <v>94</v>
      </c>
      <c r="G11" s="10" t="s">
        <v>44</v>
      </c>
      <c r="H11" s="13">
        <v>56000</v>
      </c>
      <c r="I11" s="13">
        <v>45</v>
      </c>
      <c r="J11" s="13">
        <f t="shared" si="0"/>
        <v>2520000</v>
      </c>
      <c r="K11" s="13" t="s">
        <v>289</v>
      </c>
      <c r="L11" s="13" t="s">
        <v>46</v>
      </c>
      <c r="M11" s="13" cm="1">
        <f t="array" ref="M11">SUMPRODUCT((BOQ[[#This Row],[BOQ Item No]]='WIR Tracking'!$H$7:$H$30)*('WIR Tracking'!$P$7:$P$30="OK")*(('WIR Tracking'!$R$7:$R$30="A - Approved")+('WIR Tracking'!$R$7:$R$30="B - Approved as Noted"))*'WIR Tracking'!$O$7:$O$30)</f>
        <v>0</v>
      </c>
      <c r="N11" s="13">
        <f>BOQ[[#This Row],[Cumulative Executed Qty]]*BOQ[[#This Row],[Contract Rate (SAR)]]</f>
        <v>0</v>
      </c>
      <c r="O11" s="13">
        <f>BOQ[[#This Row],[Contract Qty]]-BOQ[[#This Row],[Cumulative Executed Qty]]</f>
        <v>56000</v>
      </c>
      <c r="P11" s="11">
        <f>BOQ[[#This Row],[Executed Amount (SAR)]]/BOQ[[#This Row],[Contract Amount (SAR)]]</f>
        <v>0</v>
      </c>
    </row>
    <row r="12" spans="2:18" ht="25.9" customHeight="1">
      <c r="C12" s="10" t="s">
        <v>261</v>
      </c>
      <c r="D12" s="10"/>
      <c r="E12" s="10" t="s">
        <v>43</v>
      </c>
      <c r="F12" s="29" t="s">
        <v>95</v>
      </c>
      <c r="G12" s="10" t="s">
        <v>44</v>
      </c>
      <c r="H12" s="13">
        <v>3500</v>
      </c>
      <c r="I12" s="13">
        <v>149</v>
      </c>
      <c r="J12" s="13">
        <f t="shared" si="0"/>
        <v>521500</v>
      </c>
      <c r="K12" s="13" t="s">
        <v>289</v>
      </c>
      <c r="L12" s="13" t="s">
        <v>46</v>
      </c>
      <c r="M12" s="13" cm="1">
        <f t="array" ref="M12">SUMPRODUCT((BOQ[[#This Row],[BOQ Item No]]='WIR Tracking'!$H$7:$H$30)*('WIR Tracking'!$P$7:$P$30="OK")*(('WIR Tracking'!$R$7:$R$30="A - Approved")+('WIR Tracking'!$R$7:$R$30="B - Approved as Noted"))*'WIR Tracking'!$O$7:$O$30)</f>
        <v>0</v>
      </c>
      <c r="N12" s="13">
        <f>BOQ[[#This Row],[Cumulative Executed Qty]]*BOQ[[#This Row],[Contract Rate (SAR)]]</f>
        <v>0</v>
      </c>
      <c r="O12" s="13">
        <f>BOQ[[#This Row],[Contract Qty]]-BOQ[[#This Row],[Cumulative Executed Qty]]</f>
        <v>3500</v>
      </c>
      <c r="P12" s="11">
        <f>BOQ[[#This Row],[Executed Amount (SAR)]]/BOQ[[#This Row],[Contract Amount (SAR)]]</f>
        <v>0</v>
      </c>
    </row>
    <row r="13" spans="2:18" ht="25.9" customHeight="1">
      <c r="C13" s="10">
        <v>2090105</v>
      </c>
      <c r="D13" s="10"/>
      <c r="E13" s="10" t="s">
        <v>43</v>
      </c>
      <c r="F13" s="30" t="s">
        <v>96</v>
      </c>
      <c r="G13" s="10" t="s">
        <v>47</v>
      </c>
      <c r="H13" s="13">
        <v>3500</v>
      </c>
      <c r="I13" s="13">
        <v>90</v>
      </c>
      <c r="J13" s="13">
        <f t="shared" si="0"/>
        <v>315000</v>
      </c>
      <c r="K13" s="13" t="s">
        <v>289</v>
      </c>
      <c r="L13" s="13" t="s">
        <v>46</v>
      </c>
      <c r="M13" s="13" cm="1">
        <f t="array" ref="M13">SUMPRODUCT((BOQ[[#This Row],[BOQ Item No]]='WIR Tracking'!$H$7:$H$30)*('WIR Tracking'!$P$7:$P$30="OK")*(('WIR Tracking'!$R$7:$R$30="A - Approved")+('WIR Tracking'!$R$7:$R$30="B - Approved as Noted"))*'WIR Tracking'!$O$7:$O$30)</f>
        <v>0</v>
      </c>
      <c r="N13" s="13">
        <f>BOQ[[#This Row],[Cumulative Executed Qty]]*BOQ[[#This Row],[Contract Rate (SAR)]]</f>
        <v>0</v>
      </c>
      <c r="O13" s="13">
        <f>BOQ[[#This Row],[Contract Qty]]-BOQ[[#This Row],[Cumulative Executed Qty]]</f>
        <v>3500</v>
      </c>
      <c r="P13" s="11">
        <f>BOQ[[#This Row],[Executed Amount (SAR)]]/BOQ[[#This Row],[Contract Amount (SAR)]]</f>
        <v>0</v>
      </c>
    </row>
    <row r="14" spans="2:18" ht="25.9" customHeight="1">
      <c r="C14" s="10">
        <v>2090106</v>
      </c>
      <c r="D14" s="10"/>
      <c r="E14" s="10" t="s">
        <v>43</v>
      </c>
      <c r="F14" s="30" t="s">
        <v>97</v>
      </c>
      <c r="G14" s="10" t="s">
        <v>44</v>
      </c>
      <c r="H14" s="13">
        <v>55</v>
      </c>
      <c r="I14" s="13">
        <v>840</v>
      </c>
      <c r="J14" s="13">
        <f t="shared" si="0"/>
        <v>46200</v>
      </c>
      <c r="K14" s="13" t="s">
        <v>289</v>
      </c>
      <c r="L14" s="13" t="s">
        <v>46</v>
      </c>
      <c r="M14" s="13" cm="1">
        <f t="array" ref="M14">SUMPRODUCT((BOQ[[#This Row],[BOQ Item No]]='WIR Tracking'!$H$7:$H$30)*('WIR Tracking'!$P$7:$P$30="OK")*(('WIR Tracking'!$R$7:$R$30="A - Approved")+('WIR Tracking'!$R$7:$R$30="B - Approved as Noted"))*'WIR Tracking'!$O$7:$O$30)</f>
        <v>0</v>
      </c>
      <c r="N14" s="13">
        <f>BOQ[[#This Row],[Cumulative Executed Qty]]*BOQ[[#This Row],[Contract Rate (SAR)]]</f>
        <v>0</v>
      </c>
      <c r="O14" s="13">
        <f>BOQ[[#This Row],[Contract Qty]]-BOQ[[#This Row],[Cumulative Executed Qty]]</f>
        <v>55</v>
      </c>
      <c r="P14" s="11">
        <f>BOQ[[#This Row],[Executed Amount (SAR)]]/BOQ[[#This Row],[Contract Amount (SAR)]]</f>
        <v>0</v>
      </c>
    </row>
    <row r="15" spans="2:18" ht="25.9" customHeight="1">
      <c r="C15" s="10" t="s">
        <v>262</v>
      </c>
      <c r="D15" s="10"/>
      <c r="E15" s="10" t="s">
        <v>43</v>
      </c>
      <c r="F15" s="30" t="s">
        <v>98</v>
      </c>
      <c r="G15" s="10" t="s">
        <v>47</v>
      </c>
      <c r="H15" s="13">
        <v>800</v>
      </c>
      <c r="I15" s="13">
        <v>90</v>
      </c>
      <c r="J15" s="13">
        <f t="shared" si="0"/>
        <v>72000</v>
      </c>
      <c r="K15" s="13" t="s">
        <v>289</v>
      </c>
      <c r="L15" s="13" t="s">
        <v>46</v>
      </c>
      <c r="M15" s="13" cm="1">
        <f t="array" ref="M15">SUMPRODUCT((BOQ[[#This Row],[BOQ Item No]]='WIR Tracking'!$H$7:$H$30)*('WIR Tracking'!$P$7:$P$30="OK")*(('WIR Tracking'!$R$7:$R$30="A - Approved")+('WIR Tracking'!$R$7:$R$30="B - Approved as Noted"))*'WIR Tracking'!$O$7:$O$30)</f>
        <v>0</v>
      </c>
      <c r="N15" s="13">
        <f>BOQ[[#This Row],[Cumulative Executed Qty]]*BOQ[[#This Row],[Contract Rate (SAR)]]</f>
        <v>0</v>
      </c>
      <c r="O15" s="13">
        <f>BOQ[[#This Row],[Contract Qty]]-BOQ[[#This Row],[Cumulative Executed Qty]]</f>
        <v>800</v>
      </c>
      <c r="P15" s="11">
        <f>BOQ[[#This Row],[Executed Amount (SAR)]]/BOQ[[#This Row],[Contract Amount (SAR)]]</f>
        <v>0</v>
      </c>
    </row>
    <row r="16" spans="2:18" ht="25.9" customHeight="1">
      <c r="C16" s="10" t="s">
        <v>263</v>
      </c>
      <c r="D16" s="10"/>
      <c r="E16" s="10" t="s">
        <v>43</v>
      </c>
      <c r="F16" s="30" t="s">
        <v>97</v>
      </c>
      <c r="G16" s="10" t="s">
        <v>44</v>
      </c>
      <c r="H16" s="13">
        <v>15</v>
      </c>
      <c r="I16" s="13">
        <v>840</v>
      </c>
      <c r="J16" s="13">
        <f t="shared" si="0"/>
        <v>12600</v>
      </c>
      <c r="K16" s="13" t="s">
        <v>289</v>
      </c>
      <c r="L16" s="13" t="s">
        <v>46</v>
      </c>
      <c r="M16" s="13" cm="1">
        <f t="array" ref="M16">SUMPRODUCT((BOQ[[#This Row],[BOQ Item No]]='WIR Tracking'!$H$7:$H$30)*('WIR Tracking'!$P$7:$P$30="OK")*(('WIR Tracking'!$R$7:$R$30="A - Approved")+('WIR Tracking'!$R$7:$R$30="B - Approved as Noted"))*'WIR Tracking'!$O$7:$O$30)</f>
        <v>0</v>
      </c>
      <c r="N16" s="13">
        <f>BOQ[[#This Row],[Cumulative Executed Qty]]*BOQ[[#This Row],[Contract Rate (SAR)]]</f>
        <v>0</v>
      </c>
      <c r="O16" s="13">
        <f>BOQ[[#This Row],[Contract Qty]]-BOQ[[#This Row],[Cumulative Executed Qty]]</f>
        <v>15</v>
      </c>
      <c r="P16" s="11">
        <f>BOQ[[#This Row],[Executed Amount (SAR)]]/BOQ[[#This Row],[Contract Amount (SAR)]]</f>
        <v>0</v>
      </c>
    </row>
    <row r="17" spans="3:16" ht="25.9" customHeight="1">
      <c r="C17" s="10">
        <v>50201</v>
      </c>
      <c r="D17" s="10"/>
      <c r="E17" s="10" t="s">
        <v>43</v>
      </c>
      <c r="F17" s="30" t="s">
        <v>99</v>
      </c>
      <c r="G17" s="10" t="s">
        <v>45</v>
      </c>
      <c r="H17" s="13">
        <v>4000</v>
      </c>
      <c r="I17" s="13">
        <v>5430</v>
      </c>
      <c r="J17" s="13">
        <f t="shared" si="0"/>
        <v>21720000</v>
      </c>
      <c r="K17" s="13" t="s">
        <v>289</v>
      </c>
      <c r="L17" s="13" t="s">
        <v>46</v>
      </c>
      <c r="M17" s="13" cm="1">
        <f t="array" ref="M17">SUMPRODUCT((BOQ[[#This Row],[BOQ Item No]]='WIR Tracking'!$H$7:$H$30)*('WIR Tracking'!$P$7:$P$30="OK")*(('WIR Tracking'!$R$7:$R$30="A - Approved")+('WIR Tracking'!$R$7:$R$30="B - Approved as Noted"))*'WIR Tracking'!$O$7:$O$30)</f>
        <v>0</v>
      </c>
      <c r="N17" s="13">
        <f>BOQ[[#This Row],[Cumulative Executed Qty]]*BOQ[[#This Row],[Contract Rate (SAR)]]</f>
        <v>0</v>
      </c>
      <c r="O17" s="13">
        <f>BOQ[[#This Row],[Contract Qty]]-BOQ[[#This Row],[Cumulative Executed Qty]]</f>
        <v>4000</v>
      </c>
      <c r="P17" s="11">
        <f>BOQ[[#This Row],[Executed Amount (SAR)]]/BOQ[[#This Row],[Contract Amount (SAR)]]</f>
        <v>0</v>
      </c>
    </row>
    <row r="18" spans="3:16" ht="25.9" customHeight="1">
      <c r="C18" s="10">
        <v>5030304</v>
      </c>
      <c r="D18" s="10"/>
      <c r="E18" s="10" t="s">
        <v>43</v>
      </c>
      <c r="F18" s="30" t="s">
        <v>100</v>
      </c>
      <c r="G18" s="10" t="s">
        <v>44</v>
      </c>
      <c r="H18" s="13">
        <v>26500</v>
      </c>
      <c r="I18" s="13">
        <v>1057</v>
      </c>
      <c r="J18" s="13">
        <f t="shared" si="0"/>
        <v>28010500</v>
      </c>
      <c r="K18" s="13" t="s">
        <v>289</v>
      </c>
      <c r="L18" s="13" t="s">
        <v>46</v>
      </c>
      <c r="M18" s="13" cm="1">
        <f t="array" ref="M18">SUMPRODUCT((BOQ[[#This Row],[BOQ Item No]]='WIR Tracking'!$H$7:$H$30)*('WIR Tracking'!$P$7:$P$30="OK")*(('WIR Tracking'!$R$7:$R$30="A - Approved")+('WIR Tracking'!$R$7:$R$30="B - Approved as Noted"))*'WIR Tracking'!$O$7:$O$30)</f>
        <v>0</v>
      </c>
      <c r="N18" s="13">
        <f>BOQ[[#This Row],[Cumulative Executed Qty]]*BOQ[[#This Row],[Contract Rate (SAR)]]</f>
        <v>0</v>
      </c>
      <c r="O18" s="13">
        <f>BOQ[[#This Row],[Contract Qty]]-BOQ[[#This Row],[Cumulative Executed Qty]]</f>
        <v>26500</v>
      </c>
      <c r="P18" s="11">
        <f>BOQ[[#This Row],[Executed Amount (SAR)]]/BOQ[[#This Row],[Contract Amount (SAR)]]</f>
        <v>0</v>
      </c>
    </row>
    <row r="19" spans="3:16" ht="25.9" customHeight="1">
      <c r="C19" s="10">
        <v>5030701</v>
      </c>
      <c r="D19" s="10"/>
      <c r="E19" s="10" t="s">
        <v>43</v>
      </c>
      <c r="F19" s="30" t="s">
        <v>101</v>
      </c>
      <c r="G19" s="10" t="s">
        <v>44</v>
      </c>
      <c r="H19" s="13">
        <v>40</v>
      </c>
      <c r="I19" s="13">
        <v>1095</v>
      </c>
      <c r="J19" s="13">
        <f t="shared" si="0"/>
        <v>43800</v>
      </c>
      <c r="K19" s="13" t="s">
        <v>289</v>
      </c>
      <c r="L19" s="13" t="s">
        <v>46</v>
      </c>
      <c r="M19" s="13" cm="1">
        <f t="array" ref="M19">SUMPRODUCT((BOQ[[#This Row],[BOQ Item No]]='WIR Tracking'!$H$7:$H$30)*('WIR Tracking'!$P$7:$P$30="OK")*(('WIR Tracking'!$R$7:$R$30="A - Approved")+('WIR Tracking'!$R$7:$R$30="B - Approved as Noted"))*'WIR Tracking'!$O$7:$O$30)</f>
        <v>0</v>
      </c>
      <c r="N19" s="13">
        <f>BOQ[[#This Row],[Cumulative Executed Qty]]*BOQ[[#This Row],[Contract Rate (SAR)]]</f>
        <v>0</v>
      </c>
      <c r="O19" s="13">
        <f>BOQ[[#This Row],[Contract Qty]]-BOQ[[#This Row],[Cumulative Executed Qty]]</f>
        <v>40</v>
      </c>
      <c r="P19" s="11">
        <f>BOQ[[#This Row],[Executed Amount (SAR)]]/BOQ[[#This Row],[Contract Amount (SAR)]]</f>
        <v>0</v>
      </c>
    </row>
    <row r="20" spans="3:16" ht="25.9" customHeight="1">
      <c r="C20" s="10">
        <v>5120201</v>
      </c>
      <c r="D20" s="10"/>
      <c r="E20" s="10" t="s">
        <v>43</v>
      </c>
      <c r="F20" s="30" t="s">
        <v>102</v>
      </c>
      <c r="G20" s="10" t="s">
        <v>44</v>
      </c>
      <c r="H20" s="13">
        <v>30000</v>
      </c>
      <c r="I20" s="13">
        <v>32</v>
      </c>
      <c r="J20" s="13">
        <f t="shared" si="0"/>
        <v>960000</v>
      </c>
      <c r="K20" s="13" t="s">
        <v>289</v>
      </c>
      <c r="L20" s="13" t="s">
        <v>46</v>
      </c>
      <c r="M20" s="13" cm="1">
        <f t="array" ref="M20">SUMPRODUCT((BOQ[[#This Row],[BOQ Item No]]='WIR Tracking'!$H$7:$H$30)*('WIR Tracking'!$P$7:$P$30="OK")*(('WIR Tracking'!$R$7:$R$30="A - Approved")+('WIR Tracking'!$R$7:$R$30="B - Approved as Noted"))*'WIR Tracking'!$O$7:$O$30)</f>
        <v>0</v>
      </c>
      <c r="N20" s="13">
        <f>BOQ[[#This Row],[Cumulative Executed Qty]]*BOQ[[#This Row],[Contract Rate (SAR)]]</f>
        <v>0</v>
      </c>
      <c r="O20" s="13">
        <f>BOQ[[#This Row],[Contract Qty]]-BOQ[[#This Row],[Cumulative Executed Qty]]</f>
        <v>30000</v>
      </c>
      <c r="P20" s="11">
        <f>BOQ[[#This Row],[Executed Amount (SAR)]]/BOQ[[#This Row],[Contract Amount (SAR)]]</f>
        <v>0</v>
      </c>
    </row>
    <row r="21" spans="3:16" ht="25.9" customHeight="1">
      <c r="C21" s="10">
        <v>6030204</v>
      </c>
      <c r="D21" s="10"/>
      <c r="E21" s="10" t="s">
        <v>43</v>
      </c>
      <c r="F21" s="30" t="s">
        <v>103</v>
      </c>
      <c r="G21" s="10" t="s">
        <v>46</v>
      </c>
      <c r="H21" s="13">
        <v>13</v>
      </c>
      <c r="I21" s="13">
        <v>51220</v>
      </c>
      <c r="J21" s="13">
        <f t="shared" si="0"/>
        <v>665860</v>
      </c>
      <c r="K21" s="13" t="s">
        <v>289</v>
      </c>
      <c r="L21" s="13" t="s">
        <v>46</v>
      </c>
      <c r="M21" s="13" cm="1">
        <f t="array" ref="M21">SUMPRODUCT((BOQ[[#This Row],[BOQ Item No]]='WIR Tracking'!$H$7:$H$30)*('WIR Tracking'!$P$7:$P$30="OK")*(('WIR Tracking'!$R$7:$R$30="A - Approved")+('WIR Tracking'!$R$7:$R$30="B - Approved as Noted"))*'WIR Tracking'!$O$7:$O$30)</f>
        <v>0</v>
      </c>
      <c r="N21" s="13">
        <f>BOQ[[#This Row],[Cumulative Executed Qty]]*BOQ[[#This Row],[Contract Rate (SAR)]]</f>
        <v>0</v>
      </c>
      <c r="O21" s="13">
        <f>BOQ[[#This Row],[Contract Qty]]-BOQ[[#This Row],[Cumulative Executed Qty]]</f>
        <v>13</v>
      </c>
      <c r="P21" s="11">
        <f>BOQ[[#This Row],[Executed Amount (SAR)]]/BOQ[[#This Row],[Contract Amount (SAR)]]</f>
        <v>0</v>
      </c>
    </row>
    <row r="22" spans="3:16" ht="25.9" customHeight="1">
      <c r="C22" s="10">
        <v>6030205</v>
      </c>
      <c r="D22" s="10"/>
      <c r="E22" s="10" t="s">
        <v>43</v>
      </c>
      <c r="F22" s="30" t="s">
        <v>104</v>
      </c>
      <c r="G22" s="10" t="s">
        <v>46</v>
      </c>
      <c r="H22" s="13">
        <v>3</v>
      </c>
      <c r="I22" s="13">
        <v>45325</v>
      </c>
      <c r="J22" s="13">
        <f t="shared" si="0"/>
        <v>135975</v>
      </c>
      <c r="K22" s="13" t="s">
        <v>289</v>
      </c>
      <c r="L22" s="13" t="s">
        <v>46</v>
      </c>
      <c r="M22" s="13" cm="1">
        <f t="array" ref="M22">SUMPRODUCT((BOQ[[#This Row],[BOQ Item No]]='WIR Tracking'!$H$7:$H$30)*('WIR Tracking'!$P$7:$P$30="OK")*(('WIR Tracking'!$R$7:$R$30="A - Approved")+('WIR Tracking'!$R$7:$R$30="B - Approved as Noted"))*'WIR Tracking'!$O$7:$O$30)</f>
        <v>0</v>
      </c>
      <c r="N22" s="13">
        <f>BOQ[[#This Row],[Cumulative Executed Qty]]*BOQ[[#This Row],[Contract Rate (SAR)]]</f>
        <v>0</v>
      </c>
      <c r="O22" s="13">
        <f>BOQ[[#This Row],[Contract Qty]]-BOQ[[#This Row],[Cumulative Executed Qty]]</f>
        <v>3</v>
      </c>
      <c r="P22" s="11">
        <f>BOQ[[#This Row],[Executed Amount (SAR)]]/BOQ[[#This Row],[Contract Amount (SAR)]]</f>
        <v>0</v>
      </c>
    </row>
    <row r="23" spans="3:16" ht="25.9" customHeight="1">
      <c r="C23" s="10">
        <v>6030206</v>
      </c>
      <c r="D23" s="10"/>
      <c r="E23" s="10" t="s">
        <v>43</v>
      </c>
      <c r="F23" s="30" t="s">
        <v>105</v>
      </c>
      <c r="G23" s="10" t="s">
        <v>46</v>
      </c>
      <c r="H23" s="13">
        <v>2</v>
      </c>
      <c r="I23" s="13">
        <v>31245</v>
      </c>
      <c r="J23" s="13">
        <f t="shared" si="0"/>
        <v>62490</v>
      </c>
      <c r="K23" s="13" t="s">
        <v>289</v>
      </c>
      <c r="L23" s="13" t="s">
        <v>46</v>
      </c>
      <c r="M23" s="13" cm="1">
        <f t="array" ref="M23">SUMPRODUCT((BOQ[[#This Row],[BOQ Item No]]='WIR Tracking'!$H$7:$H$30)*('WIR Tracking'!$P$7:$P$30="OK")*(('WIR Tracking'!$R$7:$R$30="A - Approved")+('WIR Tracking'!$R$7:$R$30="B - Approved as Noted"))*'WIR Tracking'!$O$7:$O$30)</f>
        <v>0</v>
      </c>
      <c r="N23" s="13">
        <f>BOQ[[#This Row],[Cumulative Executed Qty]]*BOQ[[#This Row],[Contract Rate (SAR)]]</f>
        <v>0</v>
      </c>
      <c r="O23" s="13">
        <f>BOQ[[#This Row],[Contract Qty]]-BOQ[[#This Row],[Cumulative Executed Qty]]</f>
        <v>2</v>
      </c>
      <c r="P23" s="11">
        <f>BOQ[[#This Row],[Executed Amount (SAR)]]/BOQ[[#This Row],[Contract Amount (SAR)]]</f>
        <v>0</v>
      </c>
    </row>
    <row r="24" spans="3:16" ht="25.9" customHeight="1">
      <c r="C24" s="10">
        <v>6030207</v>
      </c>
      <c r="D24" s="10"/>
      <c r="E24" s="10" t="s">
        <v>43</v>
      </c>
      <c r="F24" s="30" t="s">
        <v>106</v>
      </c>
      <c r="G24" s="10" t="s">
        <v>46</v>
      </c>
      <c r="H24" s="13">
        <v>1</v>
      </c>
      <c r="I24" s="13">
        <v>40740</v>
      </c>
      <c r="J24" s="13">
        <f t="shared" si="0"/>
        <v>40740</v>
      </c>
      <c r="K24" s="13" t="s">
        <v>289</v>
      </c>
      <c r="L24" s="13" t="s">
        <v>46</v>
      </c>
      <c r="M24" s="13" cm="1">
        <f t="array" ref="M24">SUMPRODUCT((BOQ[[#This Row],[BOQ Item No]]='WIR Tracking'!$H$7:$H$30)*('WIR Tracking'!$P$7:$P$30="OK")*(('WIR Tracking'!$R$7:$R$30="A - Approved")+('WIR Tracking'!$R$7:$R$30="B - Approved as Noted"))*'WIR Tracking'!$O$7:$O$30)</f>
        <v>0</v>
      </c>
      <c r="N24" s="13">
        <f>BOQ[[#This Row],[Cumulative Executed Qty]]*BOQ[[#This Row],[Contract Rate (SAR)]]</f>
        <v>0</v>
      </c>
      <c r="O24" s="13">
        <f>BOQ[[#This Row],[Contract Qty]]-BOQ[[#This Row],[Cumulative Executed Qty]]</f>
        <v>1</v>
      </c>
      <c r="P24" s="11">
        <f>BOQ[[#This Row],[Executed Amount (SAR)]]/BOQ[[#This Row],[Contract Amount (SAR)]]</f>
        <v>0</v>
      </c>
    </row>
    <row r="25" spans="3:16" ht="25.9" customHeight="1">
      <c r="C25" s="10" t="s">
        <v>200</v>
      </c>
      <c r="D25" s="10"/>
      <c r="E25" s="10" t="s">
        <v>43</v>
      </c>
      <c r="F25" s="30" t="s">
        <v>107</v>
      </c>
      <c r="G25" s="10" t="s">
        <v>22</v>
      </c>
      <c r="H25" s="13">
        <v>1</v>
      </c>
      <c r="I25" s="13">
        <v>11200</v>
      </c>
      <c r="J25" s="13">
        <f t="shared" si="0"/>
        <v>11200</v>
      </c>
      <c r="K25" s="13" t="s">
        <v>289</v>
      </c>
      <c r="L25" s="13" t="s">
        <v>46</v>
      </c>
      <c r="M25" s="13" cm="1">
        <f t="array" ref="M25">SUMPRODUCT((BOQ[[#This Row],[BOQ Item No]]='WIR Tracking'!$H$7:$H$30)*('WIR Tracking'!$P$7:$P$30="OK")*(('WIR Tracking'!$R$7:$R$30="A - Approved")+('WIR Tracking'!$R$7:$R$30="B - Approved as Noted"))*'WIR Tracking'!$O$7:$O$30)</f>
        <v>0</v>
      </c>
      <c r="N25" s="13">
        <f>BOQ[[#This Row],[Cumulative Executed Qty]]*BOQ[[#This Row],[Contract Rate (SAR)]]</f>
        <v>0</v>
      </c>
      <c r="O25" s="13">
        <f>BOQ[[#This Row],[Contract Qty]]-BOQ[[#This Row],[Cumulative Executed Qty]]</f>
        <v>1</v>
      </c>
      <c r="P25" s="11">
        <f>BOQ[[#This Row],[Executed Amount (SAR)]]/BOQ[[#This Row],[Contract Amount (SAR)]]</f>
        <v>0</v>
      </c>
    </row>
    <row r="26" spans="3:16" ht="25.9" customHeight="1">
      <c r="C26" s="10" t="s">
        <v>201</v>
      </c>
      <c r="D26" s="10"/>
      <c r="E26" s="10" t="s">
        <v>43</v>
      </c>
      <c r="F26" s="30" t="s">
        <v>108</v>
      </c>
      <c r="G26" s="10" t="s">
        <v>109</v>
      </c>
      <c r="H26" s="13">
        <v>6</v>
      </c>
      <c r="I26" s="13">
        <v>350</v>
      </c>
      <c r="J26" s="13">
        <f t="shared" si="0"/>
        <v>2100</v>
      </c>
      <c r="K26" s="13" t="s">
        <v>289</v>
      </c>
      <c r="L26" s="13" t="s">
        <v>46</v>
      </c>
      <c r="M26" s="13" cm="1">
        <f t="array" ref="M26">SUMPRODUCT((BOQ[[#This Row],[BOQ Item No]]='WIR Tracking'!$H$7:$H$30)*('WIR Tracking'!$P$7:$P$30="OK")*(('WIR Tracking'!$R$7:$R$30="A - Approved")+('WIR Tracking'!$R$7:$R$30="B - Approved as Noted"))*'WIR Tracking'!$O$7:$O$30)</f>
        <v>0</v>
      </c>
      <c r="N26" s="13">
        <f>BOQ[[#This Row],[Cumulative Executed Qty]]*BOQ[[#This Row],[Contract Rate (SAR)]]</f>
        <v>0</v>
      </c>
      <c r="O26" s="13">
        <f>BOQ[[#This Row],[Contract Qty]]-BOQ[[#This Row],[Cumulative Executed Qty]]</f>
        <v>6</v>
      </c>
      <c r="P26" s="11">
        <f>BOQ[[#This Row],[Executed Amount (SAR)]]/BOQ[[#This Row],[Contract Amount (SAR)]]</f>
        <v>0</v>
      </c>
    </row>
    <row r="27" spans="3:16" ht="25.9" customHeight="1">
      <c r="C27" s="10" t="s">
        <v>202</v>
      </c>
      <c r="D27" s="10"/>
      <c r="E27" s="10" t="s">
        <v>43</v>
      </c>
      <c r="F27" s="30" t="s">
        <v>110</v>
      </c>
      <c r="G27" s="10" t="s">
        <v>47</v>
      </c>
      <c r="H27" s="13">
        <v>70</v>
      </c>
      <c r="I27" s="13">
        <v>280</v>
      </c>
      <c r="J27" s="13">
        <f t="shared" si="0"/>
        <v>19600</v>
      </c>
      <c r="K27" s="13" t="s">
        <v>289</v>
      </c>
      <c r="L27" s="13" t="s">
        <v>46</v>
      </c>
      <c r="M27" s="13" cm="1">
        <f t="array" ref="M27">SUMPRODUCT((BOQ[[#This Row],[BOQ Item No]]='WIR Tracking'!$H$7:$H$30)*('WIR Tracking'!$P$7:$P$30="OK")*(('WIR Tracking'!$R$7:$R$30="A - Approved")+('WIR Tracking'!$R$7:$R$30="B - Approved as Noted"))*'WIR Tracking'!$O$7:$O$30)</f>
        <v>0</v>
      </c>
      <c r="N27" s="13">
        <f>BOQ[[#This Row],[Cumulative Executed Qty]]*BOQ[[#This Row],[Contract Rate (SAR)]]</f>
        <v>0</v>
      </c>
      <c r="O27" s="13">
        <f>BOQ[[#This Row],[Contract Qty]]-BOQ[[#This Row],[Cumulative Executed Qty]]</f>
        <v>70</v>
      </c>
      <c r="P27" s="11">
        <f>BOQ[[#This Row],[Executed Amount (SAR)]]/BOQ[[#This Row],[Contract Amount (SAR)]]</f>
        <v>0</v>
      </c>
    </row>
    <row r="28" spans="3:16" ht="25.9" customHeight="1">
      <c r="C28" s="10" t="s">
        <v>203</v>
      </c>
      <c r="D28" s="10"/>
      <c r="E28" s="10" t="s">
        <v>43</v>
      </c>
      <c r="F28" s="30" t="s">
        <v>111</v>
      </c>
      <c r="G28" s="10" t="s">
        <v>47</v>
      </c>
      <c r="H28" s="13">
        <v>45</v>
      </c>
      <c r="I28" s="13">
        <v>490</v>
      </c>
      <c r="J28" s="13">
        <f t="shared" si="0"/>
        <v>22050</v>
      </c>
      <c r="K28" s="13" t="s">
        <v>289</v>
      </c>
      <c r="L28" s="13" t="s">
        <v>46</v>
      </c>
      <c r="M28" s="13" cm="1">
        <f t="array" ref="M28">SUMPRODUCT((BOQ[[#This Row],[BOQ Item No]]='WIR Tracking'!$H$7:$H$30)*('WIR Tracking'!$P$7:$P$30="OK")*(('WIR Tracking'!$R$7:$R$30="A - Approved")+('WIR Tracking'!$R$7:$R$30="B - Approved as Noted"))*'WIR Tracking'!$O$7:$O$30)</f>
        <v>0</v>
      </c>
      <c r="N28" s="13">
        <f>BOQ[[#This Row],[Cumulative Executed Qty]]*BOQ[[#This Row],[Contract Rate (SAR)]]</f>
        <v>0</v>
      </c>
      <c r="O28" s="13">
        <f>BOQ[[#This Row],[Contract Qty]]-BOQ[[#This Row],[Cumulative Executed Qty]]</f>
        <v>45</v>
      </c>
      <c r="P28" s="11">
        <f>BOQ[[#This Row],[Executed Amount (SAR)]]/BOQ[[#This Row],[Contract Amount (SAR)]]</f>
        <v>0</v>
      </c>
    </row>
    <row r="29" spans="3:16">
      <c r="C29" s="10" t="s">
        <v>204</v>
      </c>
      <c r="D29" s="10"/>
      <c r="E29" s="10" t="s">
        <v>43</v>
      </c>
      <c r="F29" s="30" t="s">
        <v>112</v>
      </c>
      <c r="G29" s="10" t="s">
        <v>109</v>
      </c>
      <c r="H29" s="13">
        <v>3</v>
      </c>
      <c r="I29" s="13">
        <v>4200</v>
      </c>
      <c r="J29" s="13">
        <f t="shared" si="0"/>
        <v>12600</v>
      </c>
      <c r="K29" s="13" t="s">
        <v>289</v>
      </c>
      <c r="L29" s="13" t="s">
        <v>46</v>
      </c>
      <c r="M29" s="13" cm="1">
        <f t="array" ref="M29">SUMPRODUCT((BOQ[[#This Row],[BOQ Item No]]='WIR Tracking'!$H$7:$H$30)*('WIR Tracking'!$P$7:$P$30="OK")*(('WIR Tracking'!$R$7:$R$30="A - Approved")+('WIR Tracking'!$R$7:$R$30="B - Approved as Noted"))*'WIR Tracking'!$O$7:$O$30)</f>
        <v>0</v>
      </c>
      <c r="N29" s="13">
        <f>BOQ[[#This Row],[Cumulative Executed Qty]]*BOQ[[#This Row],[Contract Rate (SAR)]]</f>
        <v>0</v>
      </c>
      <c r="O29" s="13">
        <f>BOQ[[#This Row],[Contract Qty]]-BOQ[[#This Row],[Cumulative Executed Qty]]</f>
        <v>3</v>
      </c>
      <c r="P29" s="11">
        <f>BOQ[[#This Row],[Executed Amount (SAR)]]/BOQ[[#This Row],[Contract Amount (SAR)]]</f>
        <v>0</v>
      </c>
    </row>
    <row r="30" spans="3:16">
      <c r="C30" s="10" t="s">
        <v>205</v>
      </c>
      <c r="D30" s="10"/>
      <c r="E30" s="10" t="s">
        <v>43</v>
      </c>
      <c r="F30" s="30" t="s">
        <v>113</v>
      </c>
      <c r="G30" s="10" t="s">
        <v>109</v>
      </c>
      <c r="H30" s="13">
        <v>3</v>
      </c>
      <c r="I30" s="13">
        <v>3500</v>
      </c>
      <c r="J30" s="13">
        <f t="shared" si="0"/>
        <v>10500</v>
      </c>
      <c r="K30" s="13" t="s">
        <v>289</v>
      </c>
      <c r="L30" s="13" t="s">
        <v>46</v>
      </c>
      <c r="M30" s="13" cm="1">
        <f t="array" ref="M30">SUMPRODUCT((BOQ[[#This Row],[BOQ Item No]]='WIR Tracking'!$H$7:$H$30)*('WIR Tracking'!$P$7:$P$30="OK")*(('WIR Tracking'!$R$7:$R$30="A - Approved")+('WIR Tracking'!$R$7:$R$30="B - Approved as Noted"))*'WIR Tracking'!$O$7:$O$30)</f>
        <v>0</v>
      </c>
      <c r="N30" s="13">
        <f>BOQ[[#This Row],[Cumulative Executed Qty]]*BOQ[[#This Row],[Contract Rate (SAR)]]</f>
        <v>0</v>
      </c>
      <c r="O30" s="13">
        <f>BOQ[[#This Row],[Contract Qty]]-BOQ[[#This Row],[Cumulative Executed Qty]]</f>
        <v>3</v>
      </c>
      <c r="P30" s="11">
        <f>BOQ[[#This Row],[Executed Amount (SAR)]]/BOQ[[#This Row],[Contract Amount (SAR)]]</f>
        <v>0</v>
      </c>
    </row>
    <row r="31" spans="3:16">
      <c r="C31" s="10" t="s">
        <v>206</v>
      </c>
      <c r="D31" s="10"/>
      <c r="E31" s="10" t="s">
        <v>43</v>
      </c>
      <c r="F31" s="30" t="s">
        <v>114</v>
      </c>
      <c r="G31" s="10" t="s">
        <v>109</v>
      </c>
      <c r="H31" s="13">
        <v>3</v>
      </c>
      <c r="I31" s="13">
        <v>4900</v>
      </c>
      <c r="J31" s="13">
        <f t="shared" si="0"/>
        <v>14700</v>
      </c>
      <c r="K31" s="13" t="s">
        <v>289</v>
      </c>
      <c r="L31" s="13" t="s">
        <v>46</v>
      </c>
      <c r="M31" s="13" cm="1">
        <f t="array" ref="M31">SUMPRODUCT((BOQ[[#This Row],[BOQ Item No]]='WIR Tracking'!$H$7:$H$30)*('WIR Tracking'!$P$7:$P$30="OK")*(('WIR Tracking'!$R$7:$R$30="A - Approved")+('WIR Tracking'!$R$7:$R$30="B - Approved as Noted"))*'WIR Tracking'!$O$7:$O$30)</f>
        <v>0</v>
      </c>
      <c r="N31" s="13">
        <f>BOQ[[#This Row],[Cumulative Executed Qty]]*BOQ[[#This Row],[Contract Rate (SAR)]]</f>
        <v>0</v>
      </c>
      <c r="O31" s="13">
        <f>BOQ[[#This Row],[Contract Qty]]-BOQ[[#This Row],[Cumulative Executed Qty]]</f>
        <v>3</v>
      </c>
      <c r="P31" s="11">
        <f>BOQ[[#This Row],[Executed Amount (SAR)]]/BOQ[[#This Row],[Contract Amount (SAR)]]</f>
        <v>0</v>
      </c>
    </row>
    <row r="32" spans="3:16">
      <c r="C32" s="10" t="s">
        <v>207</v>
      </c>
      <c r="D32" s="10"/>
      <c r="E32" s="10" t="s">
        <v>43</v>
      </c>
      <c r="F32" s="30" t="s">
        <v>115</v>
      </c>
      <c r="G32" s="10" t="s">
        <v>47</v>
      </c>
      <c r="H32" s="13">
        <v>1732</v>
      </c>
      <c r="I32" s="13">
        <v>70.5</v>
      </c>
      <c r="J32" s="13">
        <f t="shared" si="0"/>
        <v>122106</v>
      </c>
      <c r="K32" s="13" t="s">
        <v>289</v>
      </c>
      <c r="L32" s="13" t="s">
        <v>46</v>
      </c>
      <c r="M32" s="13" cm="1">
        <f t="array" ref="M32">SUMPRODUCT((BOQ[[#This Row],[BOQ Item No]]='WIR Tracking'!$H$7:$H$30)*('WIR Tracking'!$P$7:$P$30="OK")*(('WIR Tracking'!$R$7:$R$30="A - Approved")+('WIR Tracking'!$R$7:$R$30="B - Approved as Noted"))*'WIR Tracking'!$O$7:$O$30)</f>
        <v>0</v>
      </c>
      <c r="N32" s="13">
        <f>BOQ[[#This Row],[Cumulative Executed Qty]]*BOQ[[#This Row],[Contract Rate (SAR)]]</f>
        <v>0</v>
      </c>
      <c r="O32" s="13">
        <f>BOQ[[#This Row],[Contract Qty]]-BOQ[[#This Row],[Cumulative Executed Qty]]</f>
        <v>1732</v>
      </c>
      <c r="P32" s="11">
        <f>BOQ[[#This Row],[Executed Amount (SAR)]]/BOQ[[#This Row],[Contract Amount (SAR)]]</f>
        <v>0</v>
      </c>
    </row>
    <row r="33" spans="3:16">
      <c r="C33" s="10" t="s">
        <v>208</v>
      </c>
      <c r="D33" s="10"/>
      <c r="E33" s="10" t="s">
        <v>43</v>
      </c>
      <c r="F33" s="30" t="s">
        <v>116</v>
      </c>
      <c r="G33" s="10" t="s">
        <v>109</v>
      </c>
      <c r="H33" s="13">
        <v>25</v>
      </c>
      <c r="I33" s="13">
        <v>105</v>
      </c>
      <c r="J33" s="13">
        <f t="shared" si="0"/>
        <v>2625</v>
      </c>
      <c r="K33" s="13" t="s">
        <v>289</v>
      </c>
      <c r="L33" s="13" t="s">
        <v>46</v>
      </c>
      <c r="M33" s="13" cm="1">
        <f t="array" ref="M33">SUMPRODUCT((BOQ[[#This Row],[BOQ Item No]]='WIR Tracking'!$H$7:$H$30)*('WIR Tracking'!$P$7:$P$30="OK")*(('WIR Tracking'!$R$7:$R$30="A - Approved")+('WIR Tracking'!$R$7:$R$30="B - Approved as Noted"))*'WIR Tracking'!$O$7:$O$30)</f>
        <v>0</v>
      </c>
      <c r="N33" s="13">
        <f>BOQ[[#This Row],[Cumulative Executed Qty]]*BOQ[[#This Row],[Contract Rate (SAR)]]</f>
        <v>0</v>
      </c>
      <c r="O33" s="13">
        <f>BOQ[[#This Row],[Contract Qty]]-BOQ[[#This Row],[Cumulative Executed Qty]]</f>
        <v>25</v>
      </c>
      <c r="P33" s="11">
        <f>BOQ[[#This Row],[Executed Amount (SAR)]]/BOQ[[#This Row],[Contract Amount (SAR)]]</f>
        <v>0</v>
      </c>
    </row>
    <row r="34" spans="3:16" ht="28.5">
      <c r="C34" s="10" t="s">
        <v>209</v>
      </c>
      <c r="D34" s="10"/>
      <c r="E34" s="10" t="s">
        <v>43</v>
      </c>
      <c r="F34" s="30" t="s">
        <v>117</v>
      </c>
      <c r="G34" s="10" t="s">
        <v>109</v>
      </c>
      <c r="H34" s="13">
        <v>15</v>
      </c>
      <c r="I34" s="13">
        <v>211</v>
      </c>
      <c r="J34" s="13">
        <f t="shared" si="0"/>
        <v>3165</v>
      </c>
      <c r="K34" s="13" t="s">
        <v>289</v>
      </c>
      <c r="L34" s="13" t="s">
        <v>46</v>
      </c>
      <c r="M34" s="13" cm="1">
        <f t="array" ref="M34">SUMPRODUCT((BOQ[[#This Row],[BOQ Item No]]='WIR Tracking'!$H$7:$H$30)*('WIR Tracking'!$P$7:$P$30="OK")*(('WIR Tracking'!$R$7:$R$30="A - Approved")+('WIR Tracking'!$R$7:$R$30="B - Approved as Noted"))*'WIR Tracking'!$O$7:$O$30)</f>
        <v>0</v>
      </c>
      <c r="N34" s="13">
        <f>BOQ[[#This Row],[Cumulative Executed Qty]]*BOQ[[#This Row],[Contract Rate (SAR)]]</f>
        <v>0</v>
      </c>
      <c r="O34" s="13">
        <f>BOQ[[#This Row],[Contract Qty]]-BOQ[[#This Row],[Cumulative Executed Qty]]</f>
        <v>15</v>
      </c>
      <c r="P34" s="11">
        <f>BOQ[[#This Row],[Executed Amount (SAR)]]/BOQ[[#This Row],[Contract Amount (SAR)]]</f>
        <v>0</v>
      </c>
    </row>
    <row r="35" spans="3:16">
      <c r="C35" s="10" t="s">
        <v>210</v>
      </c>
      <c r="D35" s="10"/>
      <c r="E35" s="10" t="s">
        <v>43</v>
      </c>
      <c r="F35" s="30" t="s">
        <v>118</v>
      </c>
      <c r="G35" s="10" t="s">
        <v>109</v>
      </c>
      <c r="H35" s="13">
        <v>5</v>
      </c>
      <c r="I35" s="13">
        <v>140</v>
      </c>
      <c r="J35" s="13">
        <f t="shared" si="0"/>
        <v>700</v>
      </c>
      <c r="K35" s="13" t="s">
        <v>289</v>
      </c>
      <c r="L35" s="13" t="s">
        <v>46</v>
      </c>
      <c r="M35" s="13" cm="1">
        <f t="array" ref="M35">SUMPRODUCT((BOQ[[#This Row],[BOQ Item No]]='WIR Tracking'!$H$7:$H$30)*('WIR Tracking'!$P$7:$P$30="OK")*(('WIR Tracking'!$R$7:$R$30="A - Approved")+('WIR Tracking'!$R$7:$R$30="B - Approved as Noted"))*'WIR Tracking'!$O$7:$O$30)</f>
        <v>0</v>
      </c>
      <c r="N35" s="13">
        <f>BOQ[[#This Row],[Cumulative Executed Qty]]*BOQ[[#This Row],[Contract Rate (SAR)]]</f>
        <v>0</v>
      </c>
      <c r="O35" s="13">
        <f>BOQ[[#This Row],[Contract Qty]]-BOQ[[#This Row],[Cumulative Executed Qty]]</f>
        <v>5</v>
      </c>
      <c r="P35" s="11">
        <f>BOQ[[#This Row],[Executed Amount (SAR)]]/BOQ[[#This Row],[Contract Amount (SAR)]]</f>
        <v>0</v>
      </c>
    </row>
    <row r="36" spans="3:16">
      <c r="C36" s="10" t="s">
        <v>211</v>
      </c>
      <c r="D36" s="10"/>
      <c r="E36" s="10" t="s">
        <v>43</v>
      </c>
      <c r="F36" s="30" t="s">
        <v>119</v>
      </c>
      <c r="G36" s="10" t="s">
        <v>109</v>
      </c>
      <c r="H36" s="13">
        <v>15</v>
      </c>
      <c r="I36" s="13">
        <v>210</v>
      </c>
      <c r="J36" s="13">
        <f t="shared" si="0"/>
        <v>3150</v>
      </c>
      <c r="K36" s="13" t="s">
        <v>289</v>
      </c>
      <c r="L36" s="13" t="s">
        <v>46</v>
      </c>
      <c r="M36" s="13" cm="1">
        <f t="array" ref="M36">SUMPRODUCT((BOQ[[#This Row],[BOQ Item No]]='WIR Tracking'!$H$7:$H$30)*('WIR Tracking'!$P$7:$P$30="OK")*(('WIR Tracking'!$R$7:$R$30="A - Approved")+('WIR Tracking'!$R$7:$R$30="B - Approved as Noted"))*'WIR Tracking'!$O$7:$O$30)</f>
        <v>0</v>
      </c>
      <c r="N36" s="13">
        <f>BOQ[[#This Row],[Cumulative Executed Qty]]*BOQ[[#This Row],[Contract Rate (SAR)]]</f>
        <v>0</v>
      </c>
      <c r="O36" s="13">
        <f>BOQ[[#This Row],[Contract Qty]]-BOQ[[#This Row],[Cumulative Executed Qty]]</f>
        <v>15</v>
      </c>
      <c r="P36" s="11">
        <f>BOQ[[#This Row],[Executed Amount (SAR)]]/BOQ[[#This Row],[Contract Amount (SAR)]]</f>
        <v>0</v>
      </c>
    </row>
    <row r="37" spans="3:16">
      <c r="C37" s="10" t="s">
        <v>212</v>
      </c>
      <c r="D37" s="10"/>
      <c r="E37" s="10" t="s">
        <v>43</v>
      </c>
      <c r="F37" s="30" t="s">
        <v>120</v>
      </c>
      <c r="G37" s="10" t="s">
        <v>109</v>
      </c>
      <c r="H37" s="13">
        <v>3</v>
      </c>
      <c r="I37" s="13">
        <v>210</v>
      </c>
      <c r="J37" s="13">
        <f t="shared" si="0"/>
        <v>630</v>
      </c>
      <c r="K37" s="13" t="s">
        <v>289</v>
      </c>
      <c r="L37" s="13" t="s">
        <v>46</v>
      </c>
      <c r="M37" s="13" cm="1">
        <f t="array" ref="M37">SUMPRODUCT((BOQ[[#This Row],[BOQ Item No]]='WIR Tracking'!$H$7:$H$30)*('WIR Tracking'!$P$7:$P$30="OK")*(('WIR Tracking'!$R$7:$R$30="A - Approved")+('WIR Tracking'!$R$7:$R$30="B - Approved as Noted"))*'WIR Tracking'!$O$7:$O$30)</f>
        <v>0</v>
      </c>
      <c r="N37" s="13">
        <f>BOQ[[#This Row],[Cumulative Executed Qty]]*BOQ[[#This Row],[Contract Rate (SAR)]]</f>
        <v>0</v>
      </c>
      <c r="O37" s="13">
        <f>BOQ[[#This Row],[Contract Qty]]-BOQ[[#This Row],[Cumulative Executed Qty]]</f>
        <v>3</v>
      </c>
      <c r="P37" s="11">
        <f>BOQ[[#This Row],[Executed Amount (SAR)]]/BOQ[[#This Row],[Contract Amount (SAR)]]</f>
        <v>0</v>
      </c>
    </row>
    <row r="38" spans="3:16" ht="28.5">
      <c r="C38" s="10" t="s">
        <v>213</v>
      </c>
      <c r="D38" s="10"/>
      <c r="E38" s="10" t="s">
        <v>43</v>
      </c>
      <c r="F38" s="30" t="s">
        <v>214</v>
      </c>
      <c r="G38" s="10" t="s">
        <v>109</v>
      </c>
      <c r="H38" s="13">
        <v>3</v>
      </c>
      <c r="I38" s="13">
        <v>1260</v>
      </c>
      <c r="J38" s="13">
        <f t="shared" si="0"/>
        <v>3780</v>
      </c>
      <c r="K38" s="13" t="s">
        <v>289</v>
      </c>
      <c r="L38" s="13" t="s">
        <v>46</v>
      </c>
      <c r="M38" s="13" cm="1">
        <f t="array" ref="M38">SUMPRODUCT((BOQ[[#This Row],[BOQ Item No]]='WIR Tracking'!$H$7:$H$30)*('WIR Tracking'!$P$7:$P$30="OK")*(('WIR Tracking'!$R$7:$R$30="A - Approved")+('WIR Tracking'!$R$7:$R$30="B - Approved as Noted"))*'WIR Tracking'!$O$7:$O$30)</f>
        <v>0</v>
      </c>
      <c r="N38" s="13">
        <f>BOQ[[#This Row],[Cumulative Executed Qty]]*BOQ[[#This Row],[Contract Rate (SAR)]]</f>
        <v>0</v>
      </c>
      <c r="O38" s="13">
        <f>BOQ[[#This Row],[Contract Qty]]-BOQ[[#This Row],[Cumulative Executed Qty]]</f>
        <v>3</v>
      </c>
      <c r="P38" s="11">
        <f>BOQ[[#This Row],[Executed Amount (SAR)]]/BOQ[[#This Row],[Contract Amount (SAR)]]</f>
        <v>0</v>
      </c>
    </row>
    <row r="39" spans="3:16" ht="28.5">
      <c r="C39" s="10" t="s">
        <v>215</v>
      </c>
      <c r="D39" s="10"/>
      <c r="E39" s="10" t="s">
        <v>43</v>
      </c>
      <c r="F39" s="30" t="s">
        <v>222</v>
      </c>
      <c r="G39" s="10" t="s">
        <v>109</v>
      </c>
      <c r="H39" s="13">
        <v>3</v>
      </c>
      <c r="I39" s="13">
        <v>4900</v>
      </c>
      <c r="J39" s="13">
        <f t="shared" si="0"/>
        <v>14700</v>
      </c>
      <c r="K39" s="13" t="s">
        <v>289</v>
      </c>
      <c r="L39" s="13" t="s">
        <v>46</v>
      </c>
      <c r="M39" s="13" cm="1">
        <f t="array" ref="M39">SUMPRODUCT((BOQ[[#This Row],[BOQ Item No]]='WIR Tracking'!$H$7:$H$30)*('WIR Tracking'!$P$7:$P$30="OK")*(('WIR Tracking'!$R$7:$R$30="A - Approved")+('WIR Tracking'!$R$7:$R$30="B - Approved as Noted"))*'WIR Tracking'!$O$7:$O$30)</f>
        <v>0</v>
      </c>
      <c r="N39" s="13">
        <f>BOQ[[#This Row],[Cumulative Executed Qty]]*BOQ[[#This Row],[Contract Rate (SAR)]]</f>
        <v>0</v>
      </c>
      <c r="O39" s="13">
        <f>BOQ[[#This Row],[Contract Qty]]-BOQ[[#This Row],[Cumulative Executed Qty]]</f>
        <v>3</v>
      </c>
      <c r="P39" s="11">
        <f>BOQ[[#This Row],[Executed Amount (SAR)]]/BOQ[[#This Row],[Contract Amount (SAR)]]</f>
        <v>0</v>
      </c>
    </row>
    <row r="40" spans="3:16">
      <c r="C40" s="10" t="s">
        <v>216</v>
      </c>
      <c r="D40" s="10"/>
      <c r="E40" s="10" t="s">
        <v>43</v>
      </c>
      <c r="F40" s="30" t="s">
        <v>121</v>
      </c>
      <c r="G40" s="10" t="s">
        <v>109</v>
      </c>
      <c r="H40" s="13">
        <v>3</v>
      </c>
      <c r="I40" s="13">
        <v>4200</v>
      </c>
      <c r="J40" s="13">
        <f t="shared" si="0"/>
        <v>12600</v>
      </c>
      <c r="K40" s="13" t="s">
        <v>289</v>
      </c>
      <c r="L40" s="13" t="s">
        <v>46</v>
      </c>
      <c r="M40" s="13" cm="1">
        <f t="array" ref="M40">SUMPRODUCT((BOQ[[#This Row],[BOQ Item No]]='WIR Tracking'!$H$7:$H$30)*('WIR Tracking'!$P$7:$P$30="OK")*(('WIR Tracking'!$R$7:$R$30="A - Approved")+('WIR Tracking'!$R$7:$R$30="B - Approved as Noted"))*'WIR Tracking'!$O$7:$O$30)</f>
        <v>0</v>
      </c>
      <c r="N40" s="13">
        <f>BOQ[[#This Row],[Cumulative Executed Qty]]*BOQ[[#This Row],[Contract Rate (SAR)]]</f>
        <v>0</v>
      </c>
      <c r="O40" s="13">
        <f>BOQ[[#This Row],[Contract Qty]]-BOQ[[#This Row],[Cumulative Executed Qty]]</f>
        <v>3</v>
      </c>
      <c r="P40" s="11">
        <f>BOQ[[#This Row],[Executed Amount (SAR)]]/BOQ[[#This Row],[Contract Amount (SAR)]]</f>
        <v>0</v>
      </c>
    </row>
    <row r="41" spans="3:16" ht="28.5">
      <c r="C41" s="10" t="s">
        <v>217</v>
      </c>
      <c r="D41" s="10"/>
      <c r="E41" s="10" t="s">
        <v>43</v>
      </c>
      <c r="F41" s="30" t="s">
        <v>223</v>
      </c>
      <c r="G41" s="10" t="s">
        <v>109</v>
      </c>
      <c r="H41" s="13">
        <v>3</v>
      </c>
      <c r="I41" s="13">
        <v>4900</v>
      </c>
      <c r="J41" s="13">
        <f t="shared" si="0"/>
        <v>14700</v>
      </c>
      <c r="K41" s="13" t="s">
        <v>289</v>
      </c>
      <c r="L41" s="13" t="s">
        <v>46</v>
      </c>
      <c r="M41" s="13" cm="1">
        <f t="array" ref="M41">SUMPRODUCT((BOQ[[#This Row],[BOQ Item No]]='WIR Tracking'!$H$7:$H$30)*('WIR Tracking'!$P$7:$P$30="OK")*(('WIR Tracking'!$R$7:$R$30="A - Approved")+('WIR Tracking'!$R$7:$R$30="B - Approved as Noted"))*'WIR Tracking'!$O$7:$O$30)</f>
        <v>0</v>
      </c>
      <c r="N41" s="13">
        <f>BOQ[[#This Row],[Cumulative Executed Qty]]*BOQ[[#This Row],[Contract Rate (SAR)]]</f>
        <v>0</v>
      </c>
      <c r="O41" s="13">
        <f>BOQ[[#This Row],[Contract Qty]]-BOQ[[#This Row],[Cumulative Executed Qty]]</f>
        <v>3</v>
      </c>
      <c r="P41" s="11">
        <f>BOQ[[#This Row],[Executed Amount (SAR)]]/BOQ[[#This Row],[Contract Amount (SAR)]]</f>
        <v>0</v>
      </c>
    </row>
    <row r="42" spans="3:16" ht="28.5">
      <c r="C42" s="10" t="s">
        <v>218</v>
      </c>
      <c r="D42" s="10"/>
      <c r="E42" s="10" t="s">
        <v>43</v>
      </c>
      <c r="F42" s="30" t="s">
        <v>224</v>
      </c>
      <c r="G42" s="10" t="s">
        <v>109</v>
      </c>
      <c r="H42" s="13">
        <v>3</v>
      </c>
      <c r="I42" s="13">
        <v>4900</v>
      </c>
      <c r="J42" s="13">
        <f t="shared" si="0"/>
        <v>14700</v>
      </c>
      <c r="K42" s="13" t="s">
        <v>289</v>
      </c>
      <c r="L42" s="13" t="s">
        <v>46</v>
      </c>
      <c r="M42" s="13" cm="1">
        <f t="array" ref="M42">SUMPRODUCT((BOQ[[#This Row],[BOQ Item No]]='WIR Tracking'!$H$7:$H$30)*('WIR Tracking'!$P$7:$P$30="OK")*(('WIR Tracking'!$R$7:$R$30="A - Approved")+('WIR Tracking'!$R$7:$R$30="B - Approved as Noted"))*'WIR Tracking'!$O$7:$O$30)</f>
        <v>0</v>
      </c>
      <c r="N42" s="13">
        <f>BOQ[[#This Row],[Cumulative Executed Qty]]*BOQ[[#This Row],[Contract Rate (SAR)]]</f>
        <v>0</v>
      </c>
      <c r="O42" s="13">
        <f>BOQ[[#This Row],[Contract Qty]]-BOQ[[#This Row],[Cumulative Executed Qty]]</f>
        <v>3</v>
      </c>
      <c r="P42" s="11">
        <f>BOQ[[#This Row],[Executed Amount (SAR)]]/BOQ[[#This Row],[Contract Amount (SAR)]]</f>
        <v>0</v>
      </c>
    </row>
    <row r="43" spans="3:16" ht="28.5">
      <c r="C43" s="10" t="s">
        <v>219</v>
      </c>
      <c r="D43" s="10"/>
      <c r="E43" s="10" t="s">
        <v>43</v>
      </c>
      <c r="F43" s="30" t="s">
        <v>122</v>
      </c>
      <c r="G43" s="10" t="s">
        <v>109</v>
      </c>
      <c r="H43" s="13">
        <v>10</v>
      </c>
      <c r="I43" s="13">
        <v>910</v>
      </c>
      <c r="J43" s="13">
        <f t="shared" si="0"/>
        <v>9100</v>
      </c>
      <c r="K43" s="13" t="s">
        <v>289</v>
      </c>
      <c r="L43" s="13" t="s">
        <v>46</v>
      </c>
      <c r="M43" s="13" cm="1">
        <f t="array" ref="M43">SUMPRODUCT((BOQ[[#This Row],[BOQ Item No]]='WIR Tracking'!$H$7:$H$30)*('WIR Tracking'!$P$7:$P$30="OK")*(('WIR Tracking'!$R$7:$R$30="A - Approved")+('WIR Tracking'!$R$7:$R$30="B - Approved as Noted"))*'WIR Tracking'!$O$7:$O$30)</f>
        <v>0</v>
      </c>
      <c r="N43" s="13">
        <f>BOQ[[#This Row],[Cumulative Executed Qty]]*BOQ[[#This Row],[Contract Rate (SAR)]]</f>
        <v>0</v>
      </c>
      <c r="O43" s="13">
        <f>BOQ[[#This Row],[Contract Qty]]-BOQ[[#This Row],[Cumulative Executed Qty]]</f>
        <v>10</v>
      </c>
      <c r="P43" s="11">
        <f>BOQ[[#This Row],[Executed Amount (SAR)]]/BOQ[[#This Row],[Contract Amount (SAR)]]</f>
        <v>0</v>
      </c>
    </row>
    <row r="44" spans="3:16" ht="42.75">
      <c r="C44" s="10" t="s">
        <v>220</v>
      </c>
      <c r="D44" s="10"/>
      <c r="E44" s="10" t="s">
        <v>43</v>
      </c>
      <c r="F44" s="30" t="s">
        <v>123</v>
      </c>
      <c r="G44" s="10" t="s">
        <v>109</v>
      </c>
      <c r="H44" s="13">
        <v>15</v>
      </c>
      <c r="I44" s="13">
        <v>1050</v>
      </c>
      <c r="J44" s="13">
        <f t="shared" si="0"/>
        <v>15750</v>
      </c>
      <c r="K44" s="13" t="s">
        <v>289</v>
      </c>
      <c r="L44" s="13" t="s">
        <v>46</v>
      </c>
      <c r="M44" s="13" cm="1">
        <f t="array" ref="M44">SUMPRODUCT((BOQ[[#This Row],[BOQ Item No]]='WIR Tracking'!$H$7:$H$30)*('WIR Tracking'!$P$7:$P$30="OK")*(('WIR Tracking'!$R$7:$R$30="A - Approved")+('WIR Tracking'!$R$7:$R$30="B - Approved as Noted"))*'WIR Tracking'!$O$7:$O$30)</f>
        <v>0</v>
      </c>
      <c r="N44" s="13">
        <f>BOQ[[#This Row],[Cumulative Executed Qty]]*BOQ[[#This Row],[Contract Rate (SAR)]]</f>
        <v>0</v>
      </c>
      <c r="O44" s="13">
        <f>BOQ[[#This Row],[Contract Qty]]-BOQ[[#This Row],[Cumulative Executed Qty]]</f>
        <v>15</v>
      </c>
      <c r="P44" s="11">
        <f>BOQ[[#This Row],[Executed Amount (SAR)]]/BOQ[[#This Row],[Contract Amount (SAR)]]</f>
        <v>0</v>
      </c>
    </row>
    <row r="45" spans="3:16">
      <c r="C45" s="10" t="s">
        <v>221</v>
      </c>
      <c r="D45" s="10"/>
      <c r="E45" s="10" t="s">
        <v>43</v>
      </c>
      <c r="F45" s="30" t="s">
        <v>124</v>
      </c>
      <c r="G45" s="10" t="s">
        <v>109</v>
      </c>
      <c r="H45" s="13">
        <v>5</v>
      </c>
      <c r="I45" s="13">
        <v>630</v>
      </c>
      <c r="J45" s="13">
        <f t="shared" si="0"/>
        <v>3150</v>
      </c>
      <c r="K45" s="13" t="s">
        <v>289</v>
      </c>
      <c r="L45" s="13" t="s">
        <v>46</v>
      </c>
      <c r="M45" s="13" cm="1">
        <f t="array" ref="M45">SUMPRODUCT((BOQ[[#This Row],[BOQ Item No]]='WIR Tracking'!$H$7:$H$30)*('WIR Tracking'!$P$7:$P$30="OK")*(('WIR Tracking'!$R$7:$R$30="A - Approved")+('WIR Tracking'!$R$7:$R$30="B - Approved as Noted"))*'WIR Tracking'!$O$7:$O$30)</f>
        <v>0</v>
      </c>
      <c r="N45" s="13">
        <f>BOQ[[#This Row],[Cumulative Executed Qty]]*BOQ[[#This Row],[Contract Rate (SAR)]]</f>
        <v>0</v>
      </c>
      <c r="O45" s="13">
        <f>BOQ[[#This Row],[Contract Qty]]-BOQ[[#This Row],[Cumulative Executed Qty]]</f>
        <v>5</v>
      </c>
      <c r="P45" s="11">
        <f>BOQ[[#This Row],[Executed Amount (SAR)]]/BOQ[[#This Row],[Contract Amount (SAR)]]</f>
        <v>0</v>
      </c>
    </row>
    <row r="46" spans="3:16">
      <c r="C46" s="10" t="s">
        <v>225</v>
      </c>
      <c r="D46" s="10"/>
      <c r="E46" s="10" t="s">
        <v>43</v>
      </c>
      <c r="F46" s="30" t="s">
        <v>125</v>
      </c>
      <c r="G46" s="10" t="s">
        <v>109</v>
      </c>
      <c r="H46" s="13">
        <v>6</v>
      </c>
      <c r="I46" s="13">
        <v>140</v>
      </c>
      <c r="J46" s="13">
        <f t="shared" si="0"/>
        <v>840</v>
      </c>
      <c r="K46" s="13" t="s">
        <v>289</v>
      </c>
      <c r="L46" s="13" t="s">
        <v>46</v>
      </c>
      <c r="M46" s="13" cm="1">
        <f t="array" ref="M46">SUMPRODUCT((BOQ[[#This Row],[BOQ Item No]]='WIR Tracking'!$H$7:$H$30)*('WIR Tracking'!$P$7:$P$30="OK")*(('WIR Tracking'!$R$7:$R$30="A - Approved")+('WIR Tracking'!$R$7:$R$30="B - Approved as Noted"))*'WIR Tracking'!$O$7:$O$30)</f>
        <v>0</v>
      </c>
      <c r="N46" s="13">
        <f>BOQ[[#This Row],[Cumulative Executed Qty]]*BOQ[[#This Row],[Contract Rate (SAR)]]</f>
        <v>0</v>
      </c>
      <c r="O46" s="13">
        <f>BOQ[[#This Row],[Contract Qty]]-BOQ[[#This Row],[Cumulative Executed Qty]]</f>
        <v>6</v>
      </c>
      <c r="P46" s="11">
        <f>BOQ[[#This Row],[Executed Amount (SAR)]]/BOQ[[#This Row],[Contract Amount (SAR)]]</f>
        <v>0</v>
      </c>
    </row>
    <row r="47" spans="3:16">
      <c r="C47" s="10" t="s">
        <v>226</v>
      </c>
      <c r="D47" s="10"/>
      <c r="E47" s="10" t="s">
        <v>43</v>
      </c>
      <c r="F47" s="30" t="s">
        <v>126</v>
      </c>
      <c r="G47" s="10" t="s">
        <v>109</v>
      </c>
      <c r="H47" s="13">
        <v>6</v>
      </c>
      <c r="I47" s="13">
        <v>140</v>
      </c>
      <c r="J47" s="13">
        <f t="shared" si="0"/>
        <v>840</v>
      </c>
      <c r="K47" s="13" t="s">
        <v>289</v>
      </c>
      <c r="L47" s="13" t="s">
        <v>46</v>
      </c>
      <c r="M47" s="13" cm="1">
        <f t="array" ref="M47">SUMPRODUCT((BOQ[[#This Row],[BOQ Item No]]='WIR Tracking'!$H$7:$H$30)*('WIR Tracking'!$P$7:$P$30="OK")*(('WIR Tracking'!$R$7:$R$30="A - Approved")+('WIR Tracking'!$R$7:$R$30="B - Approved as Noted"))*'WIR Tracking'!$O$7:$O$30)</f>
        <v>0</v>
      </c>
      <c r="N47" s="13">
        <f>BOQ[[#This Row],[Cumulative Executed Qty]]*BOQ[[#This Row],[Contract Rate (SAR)]]</f>
        <v>0</v>
      </c>
      <c r="O47" s="13">
        <f>BOQ[[#This Row],[Contract Qty]]-BOQ[[#This Row],[Cumulative Executed Qty]]</f>
        <v>6</v>
      </c>
      <c r="P47" s="11">
        <f>BOQ[[#This Row],[Executed Amount (SAR)]]/BOQ[[#This Row],[Contract Amount (SAR)]]</f>
        <v>0</v>
      </c>
    </row>
    <row r="48" spans="3:16">
      <c r="C48" s="10" t="s">
        <v>227</v>
      </c>
      <c r="D48" s="10"/>
      <c r="E48" s="10" t="s">
        <v>43</v>
      </c>
      <c r="F48" s="30" t="s">
        <v>127</v>
      </c>
      <c r="G48" s="10" t="s">
        <v>109</v>
      </c>
      <c r="H48" s="13">
        <v>6</v>
      </c>
      <c r="I48" s="13">
        <v>140</v>
      </c>
      <c r="J48" s="13">
        <f t="shared" si="0"/>
        <v>840</v>
      </c>
      <c r="K48" s="13" t="s">
        <v>289</v>
      </c>
      <c r="L48" s="13" t="s">
        <v>46</v>
      </c>
      <c r="M48" s="13" cm="1">
        <f t="array" ref="M48">SUMPRODUCT((BOQ[[#This Row],[BOQ Item No]]='WIR Tracking'!$H$7:$H$30)*('WIR Tracking'!$P$7:$P$30="OK")*(('WIR Tracking'!$R$7:$R$30="A - Approved")+('WIR Tracking'!$R$7:$R$30="B - Approved as Noted"))*'WIR Tracking'!$O$7:$O$30)</f>
        <v>0</v>
      </c>
      <c r="N48" s="13">
        <f>BOQ[[#This Row],[Cumulative Executed Qty]]*BOQ[[#This Row],[Contract Rate (SAR)]]</f>
        <v>0</v>
      </c>
      <c r="O48" s="13">
        <f>BOQ[[#This Row],[Contract Qty]]-BOQ[[#This Row],[Cumulative Executed Qty]]</f>
        <v>6</v>
      </c>
      <c r="P48" s="11">
        <f>BOQ[[#This Row],[Executed Amount (SAR)]]/BOQ[[#This Row],[Contract Amount (SAR)]]</f>
        <v>0</v>
      </c>
    </row>
    <row r="49" spans="3:16">
      <c r="C49" s="10" t="s">
        <v>228</v>
      </c>
      <c r="D49" s="10"/>
      <c r="E49" s="10" t="s">
        <v>43</v>
      </c>
      <c r="F49" s="30" t="s">
        <v>128</v>
      </c>
      <c r="G49" s="10" t="s">
        <v>109</v>
      </c>
      <c r="H49" s="13">
        <v>3</v>
      </c>
      <c r="I49" s="13">
        <v>140</v>
      </c>
      <c r="J49" s="13">
        <f t="shared" si="0"/>
        <v>420</v>
      </c>
      <c r="K49" s="13" t="s">
        <v>289</v>
      </c>
      <c r="L49" s="13" t="s">
        <v>46</v>
      </c>
      <c r="M49" s="13" cm="1">
        <f t="array" ref="M49">SUMPRODUCT((BOQ[[#This Row],[BOQ Item No]]='WIR Tracking'!$H$7:$H$30)*('WIR Tracking'!$P$7:$P$30="OK")*(('WIR Tracking'!$R$7:$R$30="A - Approved")+('WIR Tracking'!$R$7:$R$30="B - Approved as Noted"))*'WIR Tracking'!$O$7:$O$30)</f>
        <v>0</v>
      </c>
      <c r="N49" s="13">
        <f>BOQ[[#This Row],[Cumulative Executed Qty]]*BOQ[[#This Row],[Contract Rate (SAR)]]</f>
        <v>0</v>
      </c>
      <c r="O49" s="13">
        <f>BOQ[[#This Row],[Contract Qty]]-BOQ[[#This Row],[Cumulative Executed Qty]]</f>
        <v>3</v>
      </c>
      <c r="P49" s="11">
        <f>BOQ[[#This Row],[Executed Amount (SAR)]]/BOQ[[#This Row],[Contract Amount (SAR)]]</f>
        <v>0</v>
      </c>
    </row>
    <row r="50" spans="3:16" ht="28.5">
      <c r="C50" s="10" t="s">
        <v>229</v>
      </c>
      <c r="D50" s="10"/>
      <c r="E50" s="10" t="s">
        <v>43</v>
      </c>
      <c r="F50" s="30" t="s">
        <v>129</v>
      </c>
      <c r="G50" s="10" t="s">
        <v>109</v>
      </c>
      <c r="H50" s="13">
        <v>1</v>
      </c>
      <c r="I50" s="13">
        <v>7000</v>
      </c>
      <c r="J50" s="13">
        <f t="shared" si="0"/>
        <v>7000</v>
      </c>
      <c r="K50" s="13" t="s">
        <v>289</v>
      </c>
      <c r="L50" s="13" t="s">
        <v>46</v>
      </c>
      <c r="M50" s="13" cm="1">
        <f t="array" ref="M50">SUMPRODUCT((BOQ[[#This Row],[BOQ Item No]]='WIR Tracking'!$H$7:$H$30)*('WIR Tracking'!$P$7:$P$30="OK")*(('WIR Tracking'!$R$7:$R$30="A - Approved")+('WIR Tracking'!$R$7:$R$30="B - Approved as Noted"))*'WIR Tracking'!$O$7:$O$30)</f>
        <v>0</v>
      </c>
      <c r="N50" s="13">
        <f>BOQ[[#This Row],[Cumulative Executed Qty]]*BOQ[[#This Row],[Contract Rate (SAR)]]</f>
        <v>0</v>
      </c>
      <c r="O50" s="13">
        <f>BOQ[[#This Row],[Contract Qty]]-BOQ[[#This Row],[Cumulative Executed Qty]]</f>
        <v>1</v>
      </c>
      <c r="P50" s="11">
        <f>BOQ[[#This Row],[Executed Amount (SAR)]]/BOQ[[#This Row],[Contract Amount (SAR)]]</f>
        <v>0</v>
      </c>
    </row>
    <row r="51" spans="3:16">
      <c r="C51" s="10" t="s">
        <v>258</v>
      </c>
      <c r="D51" s="10"/>
      <c r="E51" s="10" t="s">
        <v>43</v>
      </c>
      <c r="F51" s="30" t="s">
        <v>89</v>
      </c>
      <c r="G51" s="10" t="s">
        <v>90</v>
      </c>
      <c r="H51" s="13">
        <v>1027305.25</v>
      </c>
      <c r="I51" s="13">
        <v>5</v>
      </c>
      <c r="J51" s="13">
        <f t="shared" si="0"/>
        <v>5136526.25</v>
      </c>
      <c r="K51" s="13" t="s">
        <v>289</v>
      </c>
      <c r="L51" s="13" t="s">
        <v>46</v>
      </c>
      <c r="M51" s="13" cm="1">
        <f t="array" ref="M51">SUMPRODUCT((BOQ[[#This Row],[BOQ Item No]]='WIR Tracking'!$H$7:$H$30)*('WIR Tracking'!$P$7:$P$30="OK")*(('WIR Tracking'!$R$7:$R$30="A - Approved")+('WIR Tracking'!$R$7:$R$30="B - Approved as Noted"))*'WIR Tracking'!$O$7:$O$30)</f>
        <v>1145103.544</v>
      </c>
      <c r="N51" s="13">
        <f>BOQ[[#This Row],[Cumulative Executed Qty]]*BOQ[[#This Row],[Contract Rate (SAR)]]</f>
        <v>5725517.7199999997</v>
      </c>
      <c r="O51" s="13">
        <f>BOQ[[#This Row],[Contract Qty]]-BOQ[[#This Row],[Cumulative Executed Qty]]</f>
        <v>-117798.29399999999</v>
      </c>
      <c r="P51" s="11">
        <f>BOQ[[#This Row],[Executed Amount (SAR)]]/BOQ[[#This Row],[Contract Amount (SAR)]]</f>
        <v>1.1146672753789586</v>
      </c>
    </row>
    <row r="52" spans="3:16">
      <c r="C52" s="10" t="s">
        <v>259</v>
      </c>
      <c r="D52" s="10"/>
      <c r="E52" s="10" t="s">
        <v>43</v>
      </c>
      <c r="F52" s="30" t="s">
        <v>91</v>
      </c>
      <c r="G52" s="10" t="s">
        <v>44</v>
      </c>
      <c r="H52" s="13">
        <v>1528119</v>
      </c>
      <c r="I52" s="13">
        <v>18.3</v>
      </c>
      <c r="J52" s="13">
        <f>H52*I52</f>
        <v>27964577.699999999</v>
      </c>
      <c r="K52" s="13" t="s">
        <v>289</v>
      </c>
      <c r="L52" s="13" t="s">
        <v>46</v>
      </c>
      <c r="M52" s="13" cm="1">
        <f t="array" ref="M52">SUMPRODUCT((BOQ[[#This Row],[BOQ Item No]]='WIR Tracking'!$H$7:$H$30)*('WIR Tracking'!$P$7:$P$30="OK")*(('WIR Tracking'!$R$7:$R$30="A - Approved")+('WIR Tracking'!$R$7:$R$30="B - Approved as Noted"))*'WIR Tracking'!$O$7:$O$30)</f>
        <v>561327.30888888892</v>
      </c>
      <c r="N52" s="13">
        <f>BOQ[[#This Row],[Cumulative Executed Qty]]*BOQ[[#This Row],[Contract Rate (SAR)]]</f>
        <v>10272289.752666667</v>
      </c>
      <c r="O52" s="13">
        <f>BOQ[[#This Row],[Contract Qty]]-BOQ[[#This Row],[Cumulative Executed Qty]]</f>
        <v>966791.69111111108</v>
      </c>
      <c r="P52" s="11">
        <f>BOQ[[#This Row],[Executed Amount (SAR)]]/BOQ[[#This Row],[Contract Amount (SAR)]]</f>
        <v>0.3673321965690427</v>
      </c>
    </row>
    <row r="53" spans="3:16">
      <c r="C53" s="10" t="s">
        <v>260</v>
      </c>
      <c r="D53" s="10"/>
      <c r="E53" s="10" t="s">
        <v>43</v>
      </c>
      <c r="F53" s="30" t="s">
        <v>92</v>
      </c>
      <c r="G53" s="10" t="s">
        <v>44</v>
      </c>
      <c r="H53" s="13">
        <v>1214885</v>
      </c>
      <c r="I53" s="13">
        <v>16.2</v>
      </c>
      <c r="J53" s="13">
        <f t="shared" ref="J53:J93" si="1">H53*I53</f>
        <v>19681137</v>
      </c>
      <c r="K53" s="13" t="s">
        <v>289</v>
      </c>
      <c r="L53" s="13" t="s">
        <v>46</v>
      </c>
      <c r="M53" s="13" cm="1">
        <f t="array" ref="M53">SUMPRODUCT((BOQ[[#This Row],[BOQ Item No]]='WIR Tracking'!$H$7:$H$30)*('WIR Tracking'!$P$7:$P$30="OK")*(('WIR Tracking'!$R$7:$R$30="A - Approved")+('WIR Tracking'!$R$7:$R$30="B - Approved as Noted"))*'WIR Tracking'!$O$7:$O$30)</f>
        <v>105664.81954545453</v>
      </c>
      <c r="N53" s="13">
        <f>BOQ[[#This Row],[Cumulative Executed Qty]]*BOQ[[#This Row],[Contract Rate (SAR)]]</f>
        <v>1711770.0766363633</v>
      </c>
      <c r="O53" s="13">
        <f>BOQ[[#This Row],[Contract Qty]]-BOQ[[#This Row],[Cumulative Executed Qty]]</f>
        <v>1109220.1804545454</v>
      </c>
      <c r="P53" s="12"/>
    </row>
    <row r="54" spans="3:16">
      <c r="C54" s="10" t="s">
        <v>243</v>
      </c>
      <c r="D54" s="10"/>
      <c r="E54" s="10" t="s">
        <v>43</v>
      </c>
      <c r="F54" s="30" t="s">
        <v>91</v>
      </c>
      <c r="G54" s="10" t="s">
        <v>44</v>
      </c>
      <c r="H54" s="13">
        <v>238000</v>
      </c>
      <c r="I54" s="13">
        <v>10.35</v>
      </c>
      <c r="J54" s="13">
        <f t="shared" si="1"/>
        <v>2463300</v>
      </c>
      <c r="K54" s="13" t="s">
        <v>230</v>
      </c>
      <c r="L54" s="13" t="s">
        <v>176</v>
      </c>
      <c r="M54" s="13" cm="1">
        <f t="array" ref="M54">SUMPRODUCT((BOQ[[#This Row],[BOQ Item No]]='WIR Tracking'!$H$7:$H$30)*('WIR Tracking'!$P$7:$P$30="OK")*(('WIR Tracking'!$R$7:$R$30="A - Approved")+('WIR Tracking'!$R$7:$R$30="B - Approved as Noted"))*'WIR Tracking'!$O$7:$O$30)</f>
        <v>561327.30888888892</v>
      </c>
      <c r="N54" s="13">
        <f>BOQ[[#This Row],[Cumulative Executed Qty]]*BOQ[[#This Row],[Contract Rate (SAR)]]</f>
        <v>5809737.6469999999</v>
      </c>
      <c r="O54" s="13">
        <f>BOQ[[#This Row],[Contract Qty]]-BOQ[[#This Row],[Cumulative Executed Qty]]</f>
        <v>-323327.30888888892</v>
      </c>
      <c r="P54" s="12"/>
    </row>
    <row r="55" spans="3:16" ht="13.5" customHeight="1">
      <c r="C55" s="10" t="s">
        <v>244</v>
      </c>
      <c r="D55" s="10"/>
      <c r="E55" s="10" t="s">
        <v>43</v>
      </c>
      <c r="F55" s="30" t="s">
        <v>92</v>
      </c>
      <c r="G55" s="10" t="s">
        <v>44</v>
      </c>
      <c r="H55" s="13">
        <v>321750</v>
      </c>
      <c r="I55" s="13">
        <v>14.1</v>
      </c>
      <c r="J55" s="13">
        <f t="shared" si="1"/>
        <v>4536675</v>
      </c>
      <c r="K55" s="13" t="s">
        <v>230</v>
      </c>
      <c r="L55" s="13" t="s">
        <v>176</v>
      </c>
      <c r="M55" s="13" cm="1">
        <f t="array" ref="M55">SUMPRODUCT((BOQ[[#This Row],[BOQ Item No]]='WIR Tracking'!$H$7:$H$30)*('WIR Tracking'!$P$7:$P$30="OK")*(('WIR Tracking'!$R$7:$R$30="A - Approved")+('WIR Tracking'!$R$7:$R$30="B - Approved as Noted"))*'WIR Tracking'!$O$7:$O$30)</f>
        <v>211329.63909090907</v>
      </c>
      <c r="N55" s="13">
        <f>BOQ[[#This Row],[Cumulative Executed Qty]]*BOQ[[#This Row],[Contract Rate (SAR)]]</f>
        <v>2979747.9111818178</v>
      </c>
      <c r="O55" s="13">
        <f>BOQ[[#This Row],[Contract Qty]]-BOQ[[#This Row],[Cumulative Executed Qty]]</f>
        <v>110420.36090909093</v>
      </c>
      <c r="P55" s="12"/>
    </row>
    <row r="56" spans="3:16">
      <c r="C56" s="10" t="s">
        <v>245</v>
      </c>
      <c r="D56" s="10"/>
      <c r="E56" s="10" t="s">
        <v>43</v>
      </c>
      <c r="F56" s="30" t="s">
        <v>130</v>
      </c>
      <c r="G56" s="10" t="s">
        <v>44</v>
      </c>
      <c r="H56" s="13">
        <v>727824.4</v>
      </c>
      <c r="I56" s="13">
        <v>18.3</v>
      </c>
      <c r="J56" s="13">
        <f t="shared" si="1"/>
        <v>13319186.520000001</v>
      </c>
      <c r="K56" s="13" t="s">
        <v>231</v>
      </c>
      <c r="L56" s="13" t="s">
        <v>176</v>
      </c>
      <c r="M56" s="13" cm="1">
        <f t="array" ref="M56">SUMPRODUCT((BOQ[[#This Row],[BOQ Item No]]='WIR Tracking'!$H$7:$H$30)*('WIR Tracking'!$P$7:$P$30="OK")*(('WIR Tracking'!$R$7:$R$30="A - Approved")+('WIR Tracking'!$R$7:$R$30="B - Approved as Noted"))*'WIR Tracking'!$O$7:$O$30)</f>
        <v>280663.65444444446</v>
      </c>
      <c r="N56" s="13">
        <f>BOQ[[#This Row],[Cumulative Executed Qty]]*BOQ[[#This Row],[Contract Rate (SAR)]]</f>
        <v>5136144.8763333336</v>
      </c>
      <c r="O56" s="13">
        <f>BOQ[[#This Row],[Contract Qty]]-BOQ[[#This Row],[Cumulative Executed Qty]]</f>
        <v>447160.74555555556</v>
      </c>
      <c r="P56" s="12"/>
    </row>
    <row r="57" spans="3:16">
      <c r="C57" s="10">
        <v>20301.099999999999</v>
      </c>
      <c r="D57" s="10"/>
      <c r="E57" s="10" t="s">
        <v>43</v>
      </c>
      <c r="F57" s="30" t="s">
        <v>131</v>
      </c>
      <c r="G57" s="10" t="s">
        <v>44</v>
      </c>
      <c r="H57" s="13">
        <v>484010.83</v>
      </c>
      <c r="I57" s="13">
        <v>28</v>
      </c>
      <c r="J57" s="13">
        <f t="shared" si="1"/>
        <v>13552303.24</v>
      </c>
      <c r="K57" s="13" t="s">
        <v>231</v>
      </c>
      <c r="L57" s="13" t="s">
        <v>176</v>
      </c>
      <c r="M57" s="13" cm="1">
        <f t="array" ref="M57">SUMPRODUCT((BOQ[[#This Row],[BOQ Item No]]='WIR Tracking'!$H$7:$H$30)*('WIR Tracking'!$P$7:$P$30="OK")*(('WIR Tracking'!$R$7:$R$30="A - Approved")+('WIR Tracking'!$R$7:$R$30="B - Approved as Noted"))*'WIR Tracking'!$O$7:$O$30)</f>
        <v>0</v>
      </c>
      <c r="N57" s="13">
        <f>BOQ[[#This Row],[Cumulative Executed Qty]]*BOQ[[#This Row],[Contract Rate (SAR)]]</f>
        <v>0</v>
      </c>
      <c r="O57" s="13">
        <f>BOQ[[#This Row],[Contract Qty]]-BOQ[[#This Row],[Cumulative Executed Qty]]</f>
        <v>484010.83</v>
      </c>
      <c r="P57" s="12"/>
    </row>
    <row r="58" spans="3:16">
      <c r="C58" s="10" t="s">
        <v>246</v>
      </c>
      <c r="D58" s="10"/>
      <c r="E58" s="10" t="s">
        <v>43</v>
      </c>
      <c r="F58" s="30" t="s">
        <v>132</v>
      </c>
      <c r="G58" s="10" t="s">
        <v>44</v>
      </c>
      <c r="H58" s="13">
        <v>116511.14</v>
      </c>
      <c r="I58" s="13">
        <v>16.2</v>
      </c>
      <c r="J58" s="13">
        <f t="shared" si="1"/>
        <v>1887480.4679999999</v>
      </c>
      <c r="K58" s="13" t="s">
        <v>231</v>
      </c>
      <c r="L58" s="13" t="s">
        <v>176</v>
      </c>
      <c r="M58" s="13" cm="1">
        <f t="array" ref="M58">SUMPRODUCT((BOQ[[#This Row],[BOQ Item No]]='WIR Tracking'!$H$7:$H$30)*('WIR Tracking'!$P$7:$P$30="OK")*(('WIR Tracking'!$R$7:$R$30="A - Approved")+('WIR Tracking'!$R$7:$R$30="B - Approved as Noted"))*'WIR Tracking'!$O$7:$O$30)</f>
        <v>0</v>
      </c>
      <c r="N58" s="13">
        <f>BOQ[[#This Row],[Cumulative Executed Qty]]*BOQ[[#This Row],[Contract Rate (SAR)]]</f>
        <v>0</v>
      </c>
      <c r="O58" s="13">
        <f>BOQ[[#This Row],[Contract Qty]]-BOQ[[#This Row],[Cumulative Executed Qty]]</f>
        <v>116511.14</v>
      </c>
      <c r="P58" s="12"/>
    </row>
    <row r="59" spans="3:16">
      <c r="C59" s="10">
        <v>20501.099999999999</v>
      </c>
      <c r="D59" s="10"/>
      <c r="E59" s="10" t="s">
        <v>43</v>
      </c>
      <c r="F59" s="30" t="s">
        <v>133</v>
      </c>
      <c r="G59" s="10" t="s">
        <v>44</v>
      </c>
      <c r="H59" s="13">
        <v>355466.68</v>
      </c>
      <c r="I59" s="13">
        <v>15.8</v>
      </c>
      <c r="J59" s="13">
        <f t="shared" si="1"/>
        <v>5616373.5439999998</v>
      </c>
      <c r="K59" s="13" t="s">
        <v>231</v>
      </c>
      <c r="L59" s="13" t="s">
        <v>176</v>
      </c>
      <c r="M59" s="13" cm="1">
        <f t="array" ref="M59">SUMPRODUCT((BOQ[[#This Row],[BOQ Item No]]='WIR Tracking'!$H$7:$H$30)*('WIR Tracking'!$P$7:$P$30="OK")*(('WIR Tracking'!$R$7:$R$30="A - Approved")+('WIR Tracking'!$R$7:$R$30="B - Approved as Noted"))*'WIR Tracking'!$O$7:$O$30)</f>
        <v>105664.81954545453</v>
      </c>
      <c r="N59" s="13">
        <f>BOQ[[#This Row],[Cumulative Executed Qty]]*BOQ[[#This Row],[Contract Rate (SAR)]]</f>
        <v>1669504.1488181818</v>
      </c>
      <c r="O59" s="13">
        <f>BOQ[[#This Row],[Contract Qty]]-BOQ[[#This Row],[Cumulative Executed Qty]]</f>
        <v>249801.86045454547</v>
      </c>
      <c r="P59" s="12"/>
    </row>
    <row r="60" spans="3:16">
      <c r="C60" s="10">
        <v>20501.2</v>
      </c>
      <c r="D60" s="10"/>
      <c r="E60" s="10" t="s">
        <v>43</v>
      </c>
      <c r="F60" s="30" t="s">
        <v>134</v>
      </c>
      <c r="G60" s="10" t="s">
        <v>44</v>
      </c>
      <c r="H60" s="13">
        <v>18723.830000000002</v>
      </c>
      <c r="I60" s="13">
        <v>32</v>
      </c>
      <c r="J60" s="13">
        <f t="shared" si="1"/>
        <v>599162.56000000006</v>
      </c>
      <c r="K60" s="13" t="s">
        <v>231</v>
      </c>
      <c r="L60" s="13" t="s">
        <v>176</v>
      </c>
      <c r="M60" s="13" cm="1">
        <f t="array" ref="M60">SUMPRODUCT((BOQ[[#This Row],[BOQ Item No]]='WIR Tracking'!$H$7:$H$30)*('WIR Tracking'!$P$7:$P$30="OK")*(('WIR Tracking'!$R$7:$R$30="A - Approved")+('WIR Tracking'!$R$7:$R$30="B - Approved as Noted"))*'WIR Tracking'!$O$7:$O$30)</f>
        <v>105664.81954545453</v>
      </c>
      <c r="N60" s="13">
        <f>BOQ[[#This Row],[Cumulative Executed Qty]]*BOQ[[#This Row],[Contract Rate (SAR)]]</f>
        <v>3381274.2254545451</v>
      </c>
      <c r="O60" s="13">
        <f>BOQ[[#This Row],[Contract Qty]]-BOQ[[#This Row],[Cumulative Executed Qty]]</f>
        <v>-86940.989545454533</v>
      </c>
      <c r="P60" s="12"/>
    </row>
    <row r="61" spans="3:16">
      <c r="C61" s="10">
        <v>1</v>
      </c>
      <c r="D61" s="10"/>
      <c r="E61" s="10" t="s">
        <v>43</v>
      </c>
      <c r="F61" s="30" t="s">
        <v>135</v>
      </c>
      <c r="G61" s="10" t="s">
        <v>44</v>
      </c>
      <c r="H61" s="13">
        <v>-147419.76</v>
      </c>
      <c r="I61" s="13">
        <v>16.2</v>
      </c>
      <c r="J61" s="13">
        <f t="shared" si="1"/>
        <v>-2388200.1120000002</v>
      </c>
      <c r="K61" s="13" t="s">
        <v>232</v>
      </c>
      <c r="L61" s="13" t="s">
        <v>177</v>
      </c>
      <c r="M61" s="13" cm="1">
        <f t="array" ref="M61">SUMPRODUCT((BOQ[[#This Row],[BOQ Item No]]='WIR Tracking'!$H$7:$H$30)*('WIR Tracking'!$P$7:$P$30="OK")*(('WIR Tracking'!$R$7:$R$30="A - Approved")+('WIR Tracking'!$R$7:$R$30="B - Approved as Noted"))*'WIR Tracking'!$O$7:$O$30)</f>
        <v>0</v>
      </c>
      <c r="N61" s="13">
        <f>BOQ[[#This Row],[Cumulative Executed Qty]]*BOQ[[#This Row],[Contract Rate (SAR)]]</f>
        <v>0</v>
      </c>
      <c r="O61" s="13">
        <f>BOQ[[#This Row],[Contract Qty]]-BOQ[[#This Row],[Cumulative Executed Qty]]</f>
        <v>-147419.76</v>
      </c>
      <c r="P61" s="12"/>
    </row>
    <row r="62" spans="3:16">
      <c r="C62" s="10">
        <v>2</v>
      </c>
      <c r="D62" s="10"/>
      <c r="E62" s="10" t="s">
        <v>43</v>
      </c>
      <c r="F62" s="30" t="s">
        <v>136</v>
      </c>
      <c r="G62" s="10" t="s">
        <v>44</v>
      </c>
      <c r="H62" s="13">
        <v>-154303.5</v>
      </c>
      <c r="I62" s="13">
        <v>16.2</v>
      </c>
      <c r="J62" s="13">
        <f t="shared" si="1"/>
        <v>-2499716.6999999997</v>
      </c>
      <c r="K62" s="13" t="s">
        <v>232</v>
      </c>
      <c r="L62" s="13" t="s">
        <v>177</v>
      </c>
      <c r="M62" s="13" cm="1">
        <f t="array" ref="M62">SUMPRODUCT((BOQ[[#This Row],[BOQ Item No]]='WIR Tracking'!$H$7:$H$30)*('WIR Tracking'!$P$7:$P$30="OK")*(('WIR Tracking'!$R$7:$R$30="A - Approved")+('WIR Tracking'!$R$7:$R$30="B - Approved as Noted"))*'WIR Tracking'!$O$7:$O$30)</f>
        <v>0</v>
      </c>
      <c r="N62" s="13">
        <f>BOQ[[#This Row],[Cumulative Executed Qty]]*BOQ[[#This Row],[Contract Rate (SAR)]]</f>
        <v>0</v>
      </c>
      <c r="O62" s="13">
        <f>BOQ[[#This Row],[Contract Qty]]-BOQ[[#This Row],[Cumulative Executed Qty]]</f>
        <v>-154303.5</v>
      </c>
      <c r="P62" s="12"/>
    </row>
    <row r="63" spans="3:16">
      <c r="C63" s="10">
        <v>3</v>
      </c>
      <c r="D63" s="10"/>
      <c r="E63" s="10" t="s">
        <v>43</v>
      </c>
      <c r="F63" s="30" t="s">
        <v>137</v>
      </c>
      <c r="G63" s="10" t="s">
        <v>44</v>
      </c>
      <c r="H63" s="13">
        <v>109641.5</v>
      </c>
      <c r="I63" s="13">
        <v>18.3</v>
      </c>
      <c r="J63" s="13">
        <f t="shared" si="1"/>
        <v>2006439.4500000002</v>
      </c>
      <c r="K63" s="13" t="s">
        <v>232</v>
      </c>
      <c r="L63" s="13" t="s">
        <v>176</v>
      </c>
      <c r="M63" s="13" cm="1">
        <f t="array" ref="M63">SUMPRODUCT((BOQ[[#This Row],[BOQ Item No]]='WIR Tracking'!$H$7:$H$30)*('WIR Tracking'!$P$7:$P$30="OK")*(('WIR Tracking'!$R$7:$R$30="A - Approved")+('WIR Tracking'!$R$7:$R$30="B - Approved as Noted"))*'WIR Tracking'!$O$7:$O$30)</f>
        <v>0</v>
      </c>
      <c r="N63" s="13">
        <f>BOQ[[#This Row],[Cumulative Executed Qty]]*BOQ[[#This Row],[Contract Rate (SAR)]]</f>
        <v>0</v>
      </c>
      <c r="O63" s="13">
        <f>BOQ[[#This Row],[Contract Qty]]-BOQ[[#This Row],[Cumulative Executed Qty]]</f>
        <v>109641.5</v>
      </c>
      <c r="P63" s="12"/>
    </row>
    <row r="64" spans="3:16">
      <c r="C64" s="10">
        <v>4</v>
      </c>
      <c r="D64" s="10"/>
      <c r="E64" s="10" t="s">
        <v>43</v>
      </c>
      <c r="F64" s="30" t="s">
        <v>138</v>
      </c>
      <c r="G64" s="10" t="s">
        <v>44</v>
      </c>
      <c r="H64" s="13">
        <v>71823.5</v>
      </c>
      <c r="I64" s="13">
        <v>28</v>
      </c>
      <c r="J64" s="13">
        <f t="shared" si="1"/>
        <v>2011058</v>
      </c>
      <c r="K64" s="13" t="s">
        <v>232</v>
      </c>
      <c r="L64" s="13" t="s">
        <v>176</v>
      </c>
      <c r="M64" s="13" cm="1">
        <f t="array" ref="M64">SUMPRODUCT((BOQ[[#This Row],[BOQ Item No]]='WIR Tracking'!$H$7:$H$30)*('WIR Tracking'!$P$7:$P$30="OK")*(('WIR Tracking'!$R$7:$R$30="A - Approved")+('WIR Tracking'!$R$7:$R$30="B - Approved as Noted"))*'WIR Tracking'!$O$7:$O$30)</f>
        <v>0</v>
      </c>
      <c r="N64" s="13">
        <f>BOQ[[#This Row],[Cumulative Executed Qty]]*BOQ[[#This Row],[Contract Rate (SAR)]]</f>
        <v>0</v>
      </c>
      <c r="O64" s="13">
        <f>BOQ[[#This Row],[Contract Qty]]-BOQ[[#This Row],[Cumulative Executed Qty]]</f>
        <v>71823.5</v>
      </c>
      <c r="P64" s="12"/>
    </row>
    <row r="65" spans="3:16">
      <c r="C65" s="10">
        <v>5</v>
      </c>
      <c r="D65" s="10"/>
      <c r="E65" s="10" t="s">
        <v>43</v>
      </c>
      <c r="F65" s="30" t="s">
        <v>139</v>
      </c>
      <c r="G65" s="10" t="s">
        <v>44</v>
      </c>
      <c r="H65" s="13">
        <v>248907</v>
      </c>
      <c r="I65" s="13">
        <v>15.8</v>
      </c>
      <c r="J65" s="13">
        <f t="shared" si="1"/>
        <v>3932730.6</v>
      </c>
      <c r="K65" s="13" t="s">
        <v>232</v>
      </c>
      <c r="L65" s="13" t="s">
        <v>176</v>
      </c>
      <c r="M65" s="13" cm="1">
        <f t="array" ref="M65">SUMPRODUCT((BOQ[[#This Row],[BOQ Item No]]='WIR Tracking'!$H$7:$H$30)*('WIR Tracking'!$P$7:$P$30="OK")*(('WIR Tracking'!$R$7:$R$30="A - Approved")+('WIR Tracking'!$R$7:$R$30="B - Approved as Noted"))*'WIR Tracking'!$O$7:$O$30)</f>
        <v>0</v>
      </c>
      <c r="N65" s="13">
        <f>BOQ[[#This Row],[Cumulative Executed Qty]]*BOQ[[#This Row],[Contract Rate (SAR)]]</f>
        <v>0</v>
      </c>
      <c r="O65" s="13">
        <f>BOQ[[#This Row],[Contract Qty]]-BOQ[[#This Row],[Cumulative Executed Qty]]</f>
        <v>248907</v>
      </c>
      <c r="P65" s="12"/>
    </row>
    <row r="66" spans="3:16">
      <c r="C66" s="10" t="s">
        <v>247</v>
      </c>
      <c r="D66" s="10"/>
      <c r="E66" s="10" t="s">
        <v>43</v>
      </c>
      <c r="F66" s="30" t="s">
        <v>140</v>
      </c>
      <c r="G66" s="10" t="s">
        <v>44</v>
      </c>
      <c r="H66" s="13">
        <v>40550</v>
      </c>
      <c r="I66" s="13">
        <v>30.5</v>
      </c>
      <c r="J66" s="13">
        <f t="shared" si="1"/>
        <v>1236775</v>
      </c>
      <c r="K66" s="13" t="s">
        <v>233</v>
      </c>
      <c r="L66" s="13" t="s">
        <v>176</v>
      </c>
      <c r="M66" s="13" cm="1">
        <f t="array" ref="M66">SUMPRODUCT((BOQ[[#This Row],[BOQ Item No]]='WIR Tracking'!$H$7:$H$30)*('WIR Tracking'!$P$7:$P$30="OK")*(('WIR Tracking'!$R$7:$R$30="A - Approved")+('WIR Tracking'!$R$7:$R$30="B - Approved as Noted"))*'WIR Tracking'!$O$7:$O$30)</f>
        <v>0</v>
      </c>
      <c r="N66" s="13">
        <f>BOQ[[#This Row],[Cumulative Executed Qty]]*BOQ[[#This Row],[Contract Rate (SAR)]]</f>
        <v>0</v>
      </c>
      <c r="O66" s="13">
        <f>BOQ[[#This Row],[Contract Qty]]-BOQ[[#This Row],[Cumulative Executed Qty]]</f>
        <v>40550</v>
      </c>
      <c r="P66" s="12"/>
    </row>
    <row r="67" spans="3:16">
      <c r="C67" s="10" t="s">
        <v>248</v>
      </c>
      <c r="D67" s="10"/>
      <c r="E67" s="10" t="s">
        <v>43</v>
      </c>
      <c r="F67" s="30" t="s">
        <v>94</v>
      </c>
      <c r="G67" s="10" t="s">
        <v>44</v>
      </c>
      <c r="H67" s="13">
        <v>12000</v>
      </c>
      <c r="I67" s="13">
        <v>45</v>
      </c>
      <c r="J67" s="13">
        <f t="shared" si="1"/>
        <v>540000</v>
      </c>
      <c r="K67" s="13" t="s">
        <v>233</v>
      </c>
      <c r="L67" s="13" t="s">
        <v>176</v>
      </c>
      <c r="M67" s="13" cm="1">
        <f t="array" ref="M67">SUMPRODUCT((BOQ[[#This Row],[BOQ Item No]]='WIR Tracking'!$H$7:$H$30)*('WIR Tracking'!$P$7:$P$30="OK")*(('WIR Tracking'!$R$7:$R$30="A - Approved")+('WIR Tracking'!$R$7:$R$30="B - Approved as Noted"))*'WIR Tracking'!$O$7:$O$30)</f>
        <v>0</v>
      </c>
      <c r="N67" s="13">
        <f>BOQ[[#This Row],[Cumulative Executed Qty]]*BOQ[[#This Row],[Contract Rate (SAR)]]</f>
        <v>0</v>
      </c>
      <c r="O67" s="13">
        <f>BOQ[[#This Row],[Contract Qty]]-BOQ[[#This Row],[Cumulative Executed Qty]]</f>
        <v>12000</v>
      </c>
      <c r="P67" s="12"/>
    </row>
    <row r="68" spans="3:16">
      <c r="C68" s="10" t="s">
        <v>249</v>
      </c>
      <c r="D68" s="10"/>
      <c r="E68" s="10" t="s">
        <v>43</v>
      </c>
      <c r="F68" s="30" t="s">
        <v>98</v>
      </c>
      <c r="G68" s="10" t="s">
        <v>47</v>
      </c>
      <c r="H68" s="13">
        <v>-960</v>
      </c>
      <c r="I68" s="13">
        <v>90</v>
      </c>
      <c r="J68" s="13">
        <f t="shared" si="1"/>
        <v>-86400</v>
      </c>
      <c r="K68" s="13" t="s">
        <v>233</v>
      </c>
      <c r="L68" s="13" t="s">
        <v>177</v>
      </c>
      <c r="M68" s="13" cm="1">
        <f t="array" ref="M68">SUMPRODUCT((BOQ[[#This Row],[BOQ Item No]]='WIR Tracking'!$H$7:$H$30)*('WIR Tracking'!$P$7:$P$30="OK")*(('WIR Tracking'!$R$7:$R$30="A - Approved")+('WIR Tracking'!$R$7:$R$30="B - Approved as Noted"))*'WIR Tracking'!$O$7:$O$30)</f>
        <v>0</v>
      </c>
      <c r="N68" s="13">
        <f>BOQ[[#This Row],[Cumulative Executed Qty]]*BOQ[[#This Row],[Contract Rate (SAR)]]</f>
        <v>0</v>
      </c>
      <c r="O68" s="13">
        <f>BOQ[[#This Row],[Contract Qty]]-BOQ[[#This Row],[Cumulative Executed Qty]]</f>
        <v>-960</v>
      </c>
      <c r="P68" s="12"/>
    </row>
    <row r="69" spans="3:16">
      <c r="C69" s="10" t="s">
        <v>251</v>
      </c>
      <c r="D69" s="10"/>
      <c r="E69" s="10" t="s">
        <v>43</v>
      </c>
      <c r="F69" s="30" t="s">
        <v>98</v>
      </c>
      <c r="G69" s="10" t="s">
        <v>47</v>
      </c>
      <c r="H69" s="13">
        <v>-800</v>
      </c>
      <c r="I69" s="13">
        <v>90</v>
      </c>
      <c r="J69" s="13">
        <f t="shared" si="1"/>
        <v>-72000</v>
      </c>
      <c r="K69" s="13" t="s">
        <v>233</v>
      </c>
      <c r="L69" s="13" t="s">
        <v>177</v>
      </c>
      <c r="M69" s="13" cm="1">
        <f t="array" ref="M69">SUMPRODUCT((BOQ[[#This Row],[BOQ Item No]]='WIR Tracking'!$H$7:$H$30)*('WIR Tracking'!$P$7:$P$30="OK")*(('WIR Tracking'!$R$7:$R$30="A - Approved")+('WIR Tracking'!$R$7:$R$30="B - Approved as Noted"))*'WIR Tracking'!$O$7:$O$30)</f>
        <v>0</v>
      </c>
      <c r="N69" s="13">
        <f>BOQ[[#This Row],[Cumulative Executed Qty]]*BOQ[[#This Row],[Contract Rate (SAR)]]</f>
        <v>0</v>
      </c>
      <c r="O69" s="13">
        <f>BOQ[[#This Row],[Contract Qty]]-BOQ[[#This Row],[Cumulative Executed Qty]]</f>
        <v>-800</v>
      </c>
      <c r="P69" s="12"/>
    </row>
    <row r="70" spans="3:16">
      <c r="C70" s="10" t="s">
        <v>250</v>
      </c>
      <c r="D70" s="10"/>
      <c r="E70" s="10" t="s">
        <v>43</v>
      </c>
      <c r="F70" s="30" t="s">
        <v>141</v>
      </c>
      <c r="G70" s="10" t="s">
        <v>45</v>
      </c>
      <c r="H70" s="13">
        <v>400</v>
      </c>
      <c r="I70" s="13">
        <v>5430</v>
      </c>
      <c r="J70" s="13">
        <f t="shared" si="1"/>
        <v>2172000</v>
      </c>
      <c r="K70" s="13" t="s">
        <v>233</v>
      </c>
      <c r="L70" s="13" t="s">
        <v>176</v>
      </c>
      <c r="M70" s="13" cm="1">
        <f t="array" ref="M70">SUMPRODUCT((BOQ[[#This Row],[BOQ Item No]]='WIR Tracking'!$H$7:$H$30)*('WIR Tracking'!$P$7:$P$30="OK")*(('WIR Tracking'!$R$7:$R$30="A - Approved")+('WIR Tracking'!$R$7:$R$30="B - Approved as Noted"))*'WIR Tracking'!$O$7:$O$30)</f>
        <v>0</v>
      </c>
      <c r="N70" s="13">
        <f>BOQ[[#This Row],[Cumulative Executed Qty]]*BOQ[[#This Row],[Contract Rate (SAR)]]</f>
        <v>0</v>
      </c>
      <c r="O70" s="13">
        <f>BOQ[[#This Row],[Contract Qty]]-BOQ[[#This Row],[Cumulative Executed Qty]]</f>
        <v>400</v>
      </c>
      <c r="P70" s="12"/>
    </row>
    <row r="71" spans="3:16">
      <c r="C71" s="10" t="s">
        <v>252</v>
      </c>
      <c r="D71" s="10"/>
      <c r="E71" s="10" t="s">
        <v>43</v>
      </c>
      <c r="F71" s="30" t="s">
        <v>142</v>
      </c>
      <c r="G71" s="10" t="s">
        <v>44</v>
      </c>
      <c r="H71" s="13">
        <v>3500</v>
      </c>
      <c r="I71" s="13">
        <v>1057</v>
      </c>
      <c r="J71" s="13">
        <f t="shared" si="1"/>
        <v>3699500</v>
      </c>
      <c r="K71" s="13" t="s">
        <v>233</v>
      </c>
      <c r="L71" s="13" t="s">
        <v>176</v>
      </c>
      <c r="M71" s="13" cm="1">
        <f t="array" ref="M71">SUMPRODUCT((BOQ[[#This Row],[BOQ Item No]]='WIR Tracking'!$H$7:$H$30)*('WIR Tracking'!$P$7:$P$30="OK")*(('WIR Tracking'!$R$7:$R$30="A - Approved")+('WIR Tracking'!$R$7:$R$30="B - Approved as Noted"))*'WIR Tracking'!$O$7:$O$30)</f>
        <v>0</v>
      </c>
      <c r="N71" s="13">
        <f>BOQ[[#This Row],[Cumulative Executed Qty]]*BOQ[[#This Row],[Contract Rate (SAR)]]</f>
        <v>0</v>
      </c>
      <c r="O71" s="13">
        <f>BOQ[[#This Row],[Contract Qty]]-BOQ[[#This Row],[Cumulative Executed Qty]]</f>
        <v>3500</v>
      </c>
      <c r="P71" s="12"/>
    </row>
    <row r="72" spans="3:16" ht="28.5">
      <c r="C72" s="10" t="s">
        <v>253</v>
      </c>
      <c r="D72" s="10"/>
      <c r="E72" s="10" t="s">
        <v>43</v>
      </c>
      <c r="F72" s="30" t="s">
        <v>143</v>
      </c>
      <c r="G72" s="10" t="s">
        <v>90</v>
      </c>
      <c r="H72" s="13">
        <v>4495.47</v>
      </c>
      <c r="I72" s="13">
        <v>32</v>
      </c>
      <c r="J72" s="13">
        <f t="shared" si="1"/>
        <v>143855.04000000001</v>
      </c>
      <c r="K72" s="13" t="s">
        <v>233</v>
      </c>
      <c r="L72" s="13" t="s">
        <v>176</v>
      </c>
      <c r="M72" s="13" cm="1">
        <f t="array" ref="M72">SUMPRODUCT((BOQ[[#This Row],[BOQ Item No]]='WIR Tracking'!$H$7:$H$30)*('WIR Tracking'!$P$7:$P$30="OK")*(('WIR Tracking'!$R$7:$R$30="A - Approved")+('WIR Tracking'!$R$7:$R$30="B - Approved as Noted"))*'WIR Tracking'!$O$7:$O$30)</f>
        <v>0</v>
      </c>
      <c r="N72" s="13">
        <f>BOQ[[#This Row],[Cumulative Executed Qty]]*BOQ[[#This Row],[Contract Rate (SAR)]]</f>
        <v>0</v>
      </c>
      <c r="O72" s="13">
        <f>BOQ[[#This Row],[Contract Qty]]-BOQ[[#This Row],[Cumulative Executed Qty]]</f>
        <v>4495.47</v>
      </c>
      <c r="P72" s="12"/>
    </row>
    <row r="73" spans="3:16">
      <c r="C73" s="10" t="s">
        <v>239</v>
      </c>
      <c r="D73" s="10"/>
      <c r="E73" s="10" t="s">
        <v>43</v>
      </c>
      <c r="F73" s="30" t="s">
        <v>145</v>
      </c>
      <c r="G73" s="10" t="s">
        <v>44</v>
      </c>
      <c r="H73" s="13">
        <v>900</v>
      </c>
      <c r="I73" s="13">
        <v>889</v>
      </c>
      <c r="J73" s="13">
        <f t="shared" si="1"/>
        <v>800100</v>
      </c>
      <c r="K73" s="13" t="s">
        <v>233</v>
      </c>
      <c r="L73" s="13" t="s">
        <v>176</v>
      </c>
      <c r="M73" s="13" cm="1">
        <f t="array" ref="M73">SUMPRODUCT((BOQ[[#This Row],[BOQ Item No]]='WIR Tracking'!$H$7:$H$30)*('WIR Tracking'!$P$7:$P$30="OK")*(('WIR Tracking'!$R$7:$R$30="A - Approved")+('WIR Tracking'!$R$7:$R$30="B - Approved as Noted"))*'WIR Tracking'!$O$7:$O$30)</f>
        <v>0</v>
      </c>
      <c r="N73" s="13">
        <f>BOQ[[#This Row],[Cumulative Executed Qty]]*BOQ[[#This Row],[Contract Rate (SAR)]]</f>
        <v>0</v>
      </c>
      <c r="O73" s="13">
        <f>BOQ[[#This Row],[Contract Qty]]-BOQ[[#This Row],[Cumulative Executed Qty]]</f>
        <v>900</v>
      </c>
      <c r="P73" s="12"/>
    </row>
    <row r="74" spans="3:16" ht="28.5">
      <c r="C74" s="10" t="s">
        <v>254</v>
      </c>
      <c r="D74" s="10"/>
      <c r="E74" s="10" t="s">
        <v>43</v>
      </c>
      <c r="F74" s="30" t="s">
        <v>103</v>
      </c>
      <c r="G74" s="10" t="s">
        <v>22</v>
      </c>
      <c r="H74" s="13">
        <v>-13</v>
      </c>
      <c r="I74" s="13">
        <v>51220</v>
      </c>
      <c r="J74" s="13">
        <f t="shared" si="1"/>
        <v>-665860</v>
      </c>
      <c r="K74" s="13" t="s">
        <v>233</v>
      </c>
      <c r="L74" s="13" t="s">
        <v>177</v>
      </c>
      <c r="M74" s="13" cm="1">
        <f t="array" ref="M74">SUMPRODUCT((BOQ[[#This Row],[BOQ Item No]]='WIR Tracking'!$H$7:$H$30)*('WIR Tracking'!$P$7:$P$30="OK")*(('WIR Tracking'!$R$7:$R$30="A - Approved")+('WIR Tracking'!$R$7:$R$30="B - Approved as Noted"))*'WIR Tracking'!$O$7:$O$30)</f>
        <v>0</v>
      </c>
      <c r="N74" s="13">
        <f>BOQ[[#This Row],[Cumulative Executed Qty]]*BOQ[[#This Row],[Contract Rate (SAR)]]</f>
        <v>0</v>
      </c>
      <c r="O74" s="13">
        <f>BOQ[[#This Row],[Contract Qty]]-BOQ[[#This Row],[Cumulative Executed Qty]]</f>
        <v>-13</v>
      </c>
      <c r="P74" s="12"/>
    </row>
    <row r="75" spans="3:16" ht="28.5">
      <c r="C75" s="10" t="s">
        <v>255</v>
      </c>
      <c r="D75" s="10"/>
      <c r="E75" s="10" t="s">
        <v>43</v>
      </c>
      <c r="F75" s="30" t="s">
        <v>146</v>
      </c>
      <c r="G75" s="10" t="s">
        <v>22</v>
      </c>
      <c r="H75" s="13">
        <v>-3</v>
      </c>
      <c r="I75" s="13">
        <v>45325</v>
      </c>
      <c r="J75" s="13">
        <f t="shared" si="1"/>
        <v>-135975</v>
      </c>
      <c r="K75" s="13" t="s">
        <v>233</v>
      </c>
      <c r="L75" s="13" t="s">
        <v>177</v>
      </c>
      <c r="M75" s="13" cm="1">
        <f t="array" ref="M75">SUMPRODUCT((BOQ[[#This Row],[BOQ Item No]]='WIR Tracking'!$H$7:$H$30)*('WIR Tracking'!$P$7:$P$30="OK")*(('WIR Tracking'!$R$7:$R$30="A - Approved")+('WIR Tracking'!$R$7:$R$30="B - Approved as Noted"))*'WIR Tracking'!$O$7:$O$30)</f>
        <v>0</v>
      </c>
      <c r="N75" s="13">
        <f>BOQ[[#This Row],[Cumulative Executed Qty]]*BOQ[[#This Row],[Contract Rate (SAR)]]</f>
        <v>0</v>
      </c>
      <c r="O75" s="13">
        <f>BOQ[[#This Row],[Contract Qty]]-BOQ[[#This Row],[Cumulative Executed Qty]]</f>
        <v>-3</v>
      </c>
      <c r="P75" s="12"/>
    </row>
    <row r="76" spans="3:16" ht="28.5">
      <c r="C76" s="10" t="s">
        <v>256</v>
      </c>
      <c r="D76" s="10"/>
      <c r="E76" s="10" t="s">
        <v>43</v>
      </c>
      <c r="F76" s="30" t="s">
        <v>147</v>
      </c>
      <c r="G76" s="10" t="s">
        <v>22</v>
      </c>
      <c r="H76" s="13">
        <v>1</v>
      </c>
      <c r="I76" s="13">
        <v>31245</v>
      </c>
      <c r="J76" s="13">
        <f t="shared" si="1"/>
        <v>31245</v>
      </c>
      <c r="K76" s="13" t="s">
        <v>233</v>
      </c>
      <c r="L76" s="13" t="s">
        <v>176</v>
      </c>
      <c r="M76" s="13" cm="1">
        <f t="array" ref="M76">SUMPRODUCT((BOQ[[#This Row],[BOQ Item No]]='WIR Tracking'!$H$7:$H$30)*('WIR Tracking'!$P$7:$P$30="OK")*(('WIR Tracking'!$R$7:$R$30="A - Approved")+('WIR Tracking'!$R$7:$R$30="B - Approved as Noted"))*'WIR Tracking'!$O$7:$O$30)</f>
        <v>0</v>
      </c>
      <c r="N76" s="13">
        <f>BOQ[[#This Row],[Cumulative Executed Qty]]*BOQ[[#This Row],[Contract Rate (SAR)]]</f>
        <v>0</v>
      </c>
      <c r="O76" s="13">
        <f>BOQ[[#This Row],[Contract Qty]]-BOQ[[#This Row],[Cumulative Executed Qty]]</f>
        <v>1</v>
      </c>
      <c r="P76" s="12"/>
    </row>
    <row r="77" spans="3:16" ht="28.5">
      <c r="C77" s="10" t="s">
        <v>257</v>
      </c>
      <c r="D77" s="10"/>
      <c r="E77" s="10" t="s">
        <v>43</v>
      </c>
      <c r="F77" s="30" t="s">
        <v>148</v>
      </c>
      <c r="G77" s="10" t="s">
        <v>22</v>
      </c>
      <c r="H77" s="13">
        <v>-1</v>
      </c>
      <c r="I77" s="13">
        <v>40740</v>
      </c>
      <c r="J77" s="13">
        <f t="shared" si="1"/>
        <v>-40740</v>
      </c>
      <c r="K77" s="13" t="s">
        <v>233</v>
      </c>
      <c r="L77" s="13" t="s">
        <v>177</v>
      </c>
      <c r="M77" s="13" cm="1">
        <f t="array" ref="M77">SUMPRODUCT((BOQ[[#This Row],[BOQ Item No]]='WIR Tracking'!$H$7:$H$30)*('WIR Tracking'!$P$7:$P$30="OK")*(('WIR Tracking'!$R$7:$R$30="A - Approved")+('WIR Tracking'!$R$7:$R$30="B - Approved as Noted"))*'WIR Tracking'!$O$7:$O$30)</f>
        <v>0</v>
      </c>
      <c r="N77" s="13">
        <f>BOQ[[#This Row],[Cumulative Executed Qty]]*BOQ[[#This Row],[Contract Rate (SAR)]]</f>
        <v>0</v>
      </c>
      <c r="O77" s="13">
        <f>BOQ[[#This Row],[Contract Qty]]-BOQ[[#This Row],[Cumulative Executed Qty]]</f>
        <v>-1</v>
      </c>
      <c r="P77" s="12"/>
    </row>
    <row r="78" spans="3:16" ht="28.5">
      <c r="C78" s="10" t="s">
        <v>144</v>
      </c>
      <c r="D78" s="10"/>
      <c r="E78" s="10" t="s">
        <v>43</v>
      </c>
      <c r="F78" s="30" t="s">
        <v>149</v>
      </c>
      <c r="G78" s="10" t="s">
        <v>22</v>
      </c>
      <c r="H78" s="13">
        <v>5</v>
      </c>
      <c r="I78" s="13">
        <v>120000</v>
      </c>
      <c r="J78" s="13">
        <f t="shared" si="1"/>
        <v>600000</v>
      </c>
      <c r="K78" s="13" t="s">
        <v>233</v>
      </c>
      <c r="L78" s="13" t="s">
        <v>176</v>
      </c>
      <c r="M78" s="13" cm="1">
        <f t="array" ref="M78">SUMPRODUCT((BOQ[[#This Row],[BOQ Item No]]='WIR Tracking'!$H$7:$H$30)*('WIR Tracking'!$P$7:$P$30="OK")*(('WIR Tracking'!$R$7:$R$30="A - Approved")+('WIR Tracking'!$R$7:$R$30="B - Approved as Noted"))*'WIR Tracking'!$O$7:$O$30)</f>
        <v>0</v>
      </c>
      <c r="N78" s="13">
        <f>BOQ[[#This Row],[Cumulative Executed Qty]]*BOQ[[#This Row],[Contract Rate (SAR)]]</f>
        <v>0</v>
      </c>
      <c r="O78" s="13">
        <f>BOQ[[#This Row],[Contract Qty]]-BOQ[[#This Row],[Cumulative Executed Qty]]</f>
        <v>5</v>
      </c>
      <c r="P78" s="12"/>
    </row>
    <row r="79" spans="3:16" ht="42.75">
      <c r="C79" s="10" t="s">
        <v>150</v>
      </c>
      <c r="D79" s="10"/>
      <c r="E79" s="10" t="s">
        <v>43</v>
      </c>
      <c r="F79" s="30" t="s">
        <v>151</v>
      </c>
      <c r="G79" s="10" t="s">
        <v>22</v>
      </c>
      <c r="H79" s="13">
        <v>1</v>
      </c>
      <c r="I79" s="13">
        <v>700000</v>
      </c>
      <c r="J79" s="13">
        <f t="shared" si="1"/>
        <v>700000</v>
      </c>
      <c r="K79" s="13" t="s">
        <v>233</v>
      </c>
      <c r="L79" s="13" t="s">
        <v>176</v>
      </c>
      <c r="M79" s="13" cm="1">
        <f t="array" ref="M79">SUMPRODUCT((BOQ[[#This Row],[BOQ Item No]]='WIR Tracking'!$H$7:$H$30)*('WIR Tracking'!$P$7:$P$30="OK")*(('WIR Tracking'!$R$7:$R$30="A - Approved")+('WIR Tracking'!$R$7:$R$30="B - Approved as Noted"))*'WIR Tracking'!$O$7:$O$30)</f>
        <v>0</v>
      </c>
      <c r="N79" s="13">
        <f>BOQ[[#This Row],[Cumulative Executed Qty]]*BOQ[[#This Row],[Contract Rate (SAR)]]</f>
        <v>0</v>
      </c>
      <c r="O79" s="13">
        <f>BOQ[[#This Row],[Contract Qty]]-BOQ[[#This Row],[Cumulative Executed Qty]]</f>
        <v>1</v>
      </c>
      <c r="P79" s="12"/>
    </row>
    <row r="80" spans="3:16" ht="42.75">
      <c r="C80" s="10" t="s">
        <v>152</v>
      </c>
      <c r="D80" s="10"/>
      <c r="E80" s="10" t="s">
        <v>43</v>
      </c>
      <c r="F80" s="30" t="s">
        <v>153</v>
      </c>
      <c r="G80" s="10" t="s">
        <v>22</v>
      </c>
      <c r="H80" s="13">
        <v>1</v>
      </c>
      <c r="I80" s="13">
        <v>176500</v>
      </c>
      <c r="J80" s="13">
        <f t="shared" si="1"/>
        <v>176500</v>
      </c>
      <c r="K80" s="13" t="s">
        <v>233</v>
      </c>
      <c r="L80" s="13" t="s">
        <v>176</v>
      </c>
      <c r="M80" s="13" cm="1">
        <f t="array" ref="M80">SUMPRODUCT((BOQ[[#This Row],[BOQ Item No]]='WIR Tracking'!$H$7:$H$30)*('WIR Tracking'!$P$7:$P$30="OK")*(('WIR Tracking'!$R$7:$R$30="A - Approved")+('WIR Tracking'!$R$7:$R$30="B - Approved as Noted"))*'WIR Tracking'!$O$7:$O$30)</f>
        <v>0</v>
      </c>
      <c r="N80" s="13">
        <f>BOQ[[#This Row],[Cumulative Executed Qty]]*BOQ[[#This Row],[Contract Rate (SAR)]]</f>
        <v>0</v>
      </c>
      <c r="O80" s="13">
        <f>BOQ[[#This Row],[Contract Qty]]-BOQ[[#This Row],[Cumulative Executed Qty]]</f>
        <v>1</v>
      </c>
      <c r="P80" s="12"/>
    </row>
    <row r="81" spans="3:16" ht="28.5">
      <c r="C81" s="10" t="s">
        <v>154</v>
      </c>
      <c r="D81" s="10"/>
      <c r="E81" s="10" t="s">
        <v>43</v>
      </c>
      <c r="F81" s="30" t="s">
        <v>155</v>
      </c>
      <c r="G81" s="10" t="s">
        <v>22</v>
      </c>
      <c r="H81" s="13">
        <v>1</v>
      </c>
      <c r="I81" s="13">
        <v>136000</v>
      </c>
      <c r="J81" s="13">
        <f t="shared" si="1"/>
        <v>136000</v>
      </c>
      <c r="K81" s="13" t="s">
        <v>233</v>
      </c>
      <c r="L81" s="13" t="s">
        <v>176</v>
      </c>
      <c r="M81" s="13" cm="1">
        <f t="array" ref="M81">SUMPRODUCT((BOQ[[#This Row],[BOQ Item No]]='WIR Tracking'!$H$7:$H$30)*('WIR Tracking'!$P$7:$P$30="OK")*(('WIR Tracking'!$R$7:$R$30="A - Approved")+('WIR Tracking'!$R$7:$R$30="B - Approved as Noted"))*'WIR Tracking'!$O$7:$O$30)</f>
        <v>0</v>
      </c>
      <c r="N81" s="13">
        <f>BOQ[[#This Row],[Cumulative Executed Qty]]*BOQ[[#This Row],[Contract Rate (SAR)]]</f>
        <v>0</v>
      </c>
      <c r="O81" s="13">
        <f>BOQ[[#This Row],[Contract Qty]]-BOQ[[#This Row],[Cumulative Executed Qty]]</f>
        <v>1</v>
      </c>
      <c r="P81" s="12"/>
    </row>
    <row r="82" spans="3:16" ht="28.5">
      <c r="C82" s="10" t="s">
        <v>156</v>
      </c>
      <c r="D82" s="10"/>
      <c r="E82" s="10" t="s">
        <v>43</v>
      </c>
      <c r="F82" s="30" t="s">
        <v>157</v>
      </c>
      <c r="G82" s="10" t="s">
        <v>22</v>
      </c>
      <c r="H82" s="13">
        <v>1</v>
      </c>
      <c r="I82" s="13">
        <v>170000</v>
      </c>
      <c r="J82" s="13">
        <f t="shared" si="1"/>
        <v>170000</v>
      </c>
      <c r="K82" s="13" t="s">
        <v>233</v>
      </c>
      <c r="L82" s="13" t="s">
        <v>176</v>
      </c>
      <c r="M82" s="13" cm="1">
        <f t="array" ref="M82">SUMPRODUCT((BOQ[[#This Row],[BOQ Item No]]='WIR Tracking'!$H$7:$H$30)*('WIR Tracking'!$P$7:$P$30="OK")*(('WIR Tracking'!$R$7:$R$30="A - Approved")+('WIR Tracking'!$R$7:$R$30="B - Approved as Noted"))*'WIR Tracking'!$O$7:$O$30)</f>
        <v>0</v>
      </c>
      <c r="N82" s="13">
        <f>BOQ[[#This Row],[Cumulative Executed Qty]]*BOQ[[#This Row],[Contract Rate (SAR)]]</f>
        <v>0</v>
      </c>
      <c r="O82" s="13">
        <f>BOQ[[#This Row],[Contract Qty]]-BOQ[[#This Row],[Cumulative Executed Qty]]</f>
        <v>1</v>
      </c>
      <c r="P82" s="12"/>
    </row>
    <row r="83" spans="3:16" ht="28.5">
      <c r="C83" s="10" t="s">
        <v>158</v>
      </c>
      <c r="D83" s="10"/>
      <c r="E83" s="10" t="s">
        <v>43</v>
      </c>
      <c r="F83" s="30" t="s">
        <v>159</v>
      </c>
      <c r="G83" s="10" t="s">
        <v>22</v>
      </c>
      <c r="H83" s="13">
        <v>1</v>
      </c>
      <c r="I83" s="13">
        <v>95000</v>
      </c>
      <c r="J83" s="13">
        <f t="shared" si="1"/>
        <v>95000</v>
      </c>
      <c r="K83" s="13" t="s">
        <v>233</v>
      </c>
      <c r="L83" s="13" t="s">
        <v>176</v>
      </c>
      <c r="M83" s="13" cm="1">
        <f t="array" ref="M83">SUMPRODUCT((BOQ[[#This Row],[BOQ Item No]]='WIR Tracking'!$H$7:$H$30)*('WIR Tracking'!$P$7:$P$30="OK")*(('WIR Tracking'!$R$7:$R$30="A - Approved")+('WIR Tracking'!$R$7:$R$30="B - Approved as Noted"))*'WIR Tracking'!$O$7:$O$30)</f>
        <v>0</v>
      </c>
      <c r="N83" s="13">
        <f>BOQ[[#This Row],[Cumulative Executed Qty]]*BOQ[[#This Row],[Contract Rate (SAR)]]</f>
        <v>0</v>
      </c>
      <c r="O83" s="13">
        <f>BOQ[[#This Row],[Contract Qty]]-BOQ[[#This Row],[Cumulative Executed Qty]]</f>
        <v>1</v>
      </c>
      <c r="P83" s="12"/>
    </row>
    <row r="84" spans="3:16">
      <c r="C84" s="10" t="s">
        <v>235</v>
      </c>
      <c r="D84" s="10"/>
      <c r="E84" s="10" t="s">
        <v>43</v>
      </c>
      <c r="F84" s="30" t="s">
        <v>89</v>
      </c>
      <c r="G84" s="10" t="s">
        <v>44</v>
      </c>
      <c r="H84" s="13">
        <v>36520.449999999997</v>
      </c>
      <c r="I84" s="13">
        <v>5</v>
      </c>
      <c r="J84" s="13">
        <f t="shared" si="1"/>
        <v>182602.25</v>
      </c>
      <c r="K84" s="13" t="s">
        <v>234</v>
      </c>
      <c r="L84" s="13" t="s">
        <v>176</v>
      </c>
      <c r="M84" s="13" cm="1">
        <f t="array" ref="M84">SUMPRODUCT((BOQ[[#This Row],[BOQ Item No]]='WIR Tracking'!$H$7:$H$30)*('WIR Tracking'!$P$7:$P$30="OK")*(('WIR Tracking'!$R$7:$R$30="A - Approved")+('WIR Tracking'!$R$7:$R$30="B - Approved as Noted"))*'WIR Tracking'!$O$7:$O$30)</f>
        <v>0</v>
      </c>
      <c r="N84" s="13">
        <f>BOQ[[#This Row],[Cumulative Executed Qty]]*BOQ[[#This Row],[Contract Rate (SAR)]]</f>
        <v>0</v>
      </c>
      <c r="O84" s="13">
        <f>BOQ[[#This Row],[Contract Qty]]-BOQ[[#This Row],[Cumulative Executed Qty]]</f>
        <v>36520.449999999997</v>
      </c>
      <c r="P84" s="12"/>
    </row>
    <row r="85" spans="3:16">
      <c r="C85" s="10" t="s">
        <v>236</v>
      </c>
      <c r="D85" s="10"/>
      <c r="E85" s="10" t="s">
        <v>43</v>
      </c>
      <c r="F85" s="30" t="s">
        <v>160</v>
      </c>
      <c r="G85" s="10" t="s">
        <v>44</v>
      </c>
      <c r="H85" s="13">
        <v>22552.400000000001</v>
      </c>
      <c r="I85" s="13">
        <v>18.3</v>
      </c>
      <c r="J85" s="13">
        <f t="shared" si="1"/>
        <v>412708.92000000004</v>
      </c>
      <c r="K85" s="13" t="s">
        <v>234</v>
      </c>
      <c r="L85" s="13" t="s">
        <v>176</v>
      </c>
      <c r="M85" s="13" cm="1">
        <f t="array" ref="M85">SUMPRODUCT((BOQ[[#This Row],[BOQ Item No]]='WIR Tracking'!$H$7:$H$30)*('WIR Tracking'!$P$7:$P$30="OK")*(('WIR Tracking'!$R$7:$R$30="A - Approved")+('WIR Tracking'!$R$7:$R$30="B - Approved as Noted"))*'WIR Tracking'!$O$7:$O$30)</f>
        <v>0</v>
      </c>
      <c r="N85" s="13">
        <f>BOQ[[#This Row],[Cumulative Executed Qty]]*BOQ[[#This Row],[Contract Rate (SAR)]]</f>
        <v>0</v>
      </c>
      <c r="O85" s="13">
        <f>BOQ[[#This Row],[Contract Qty]]-BOQ[[#This Row],[Cumulative Executed Qty]]</f>
        <v>22552.400000000001</v>
      </c>
      <c r="P85" s="12"/>
    </row>
    <row r="86" spans="3:16">
      <c r="C86" s="10" t="s">
        <v>237</v>
      </c>
      <c r="D86" s="10"/>
      <c r="E86" s="10" t="s">
        <v>43</v>
      </c>
      <c r="F86" s="30" t="s">
        <v>161</v>
      </c>
      <c r="G86" s="10" t="s">
        <v>44</v>
      </c>
      <c r="H86" s="13">
        <v>12946.68</v>
      </c>
      <c r="I86" s="13">
        <v>18.3</v>
      </c>
      <c r="J86" s="13">
        <f t="shared" si="1"/>
        <v>236924.24400000001</v>
      </c>
      <c r="K86" s="13" t="s">
        <v>234</v>
      </c>
      <c r="L86" s="13" t="s">
        <v>176</v>
      </c>
      <c r="M86" s="13" cm="1">
        <f t="array" ref="M86">SUMPRODUCT((BOQ[[#This Row],[BOQ Item No]]='WIR Tracking'!$H$7:$H$30)*('WIR Tracking'!$P$7:$P$30="OK")*(('WIR Tracking'!$R$7:$R$30="A - Approved")+('WIR Tracking'!$R$7:$R$30="B - Approved as Noted"))*'WIR Tracking'!$O$7:$O$30)</f>
        <v>0</v>
      </c>
      <c r="N86" s="13">
        <f>BOQ[[#This Row],[Cumulative Executed Qty]]*BOQ[[#This Row],[Contract Rate (SAR)]]</f>
        <v>0</v>
      </c>
      <c r="O86" s="13">
        <f>BOQ[[#This Row],[Contract Qty]]-BOQ[[#This Row],[Cumulative Executed Qty]]</f>
        <v>12946.68</v>
      </c>
      <c r="P86" s="12"/>
    </row>
    <row r="87" spans="3:16">
      <c r="C87" s="10" t="s">
        <v>238</v>
      </c>
      <c r="D87" s="10"/>
      <c r="E87" s="10" t="s">
        <v>43</v>
      </c>
      <c r="F87" s="30" t="s">
        <v>162</v>
      </c>
      <c r="G87" s="10" t="s">
        <v>44</v>
      </c>
      <c r="H87" s="13">
        <v>7840.3</v>
      </c>
      <c r="I87" s="13">
        <v>28</v>
      </c>
      <c r="J87" s="13">
        <f t="shared" si="1"/>
        <v>219528.4</v>
      </c>
      <c r="K87" s="13" t="s">
        <v>234</v>
      </c>
      <c r="L87" s="13" t="s">
        <v>176</v>
      </c>
      <c r="M87" s="13" cm="1">
        <f t="array" ref="M87">SUMPRODUCT((BOQ[[#This Row],[BOQ Item No]]='WIR Tracking'!$H$7:$H$30)*('WIR Tracking'!$P$7:$P$30="OK")*(('WIR Tracking'!$R$7:$R$30="A - Approved")+('WIR Tracking'!$R$7:$R$30="B - Approved as Noted"))*'WIR Tracking'!$O$7:$O$30)</f>
        <v>0</v>
      </c>
      <c r="N87" s="13">
        <f>BOQ[[#This Row],[Cumulative Executed Qty]]*BOQ[[#This Row],[Contract Rate (SAR)]]</f>
        <v>0</v>
      </c>
      <c r="O87" s="13">
        <f>BOQ[[#This Row],[Contract Qty]]-BOQ[[#This Row],[Cumulative Executed Qty]]</f>
        <v>7840.3</v>
      </c>
      <c r="P87" s="12"/>
    </row>
    <row r="88" spans="3:16">
      <c r="C88" s="10"/>
      <c r="D88" s="10"/>
      <c r="E88" s="10"/>
      <c r="F88" s="30"/>
      <c r="G88" s="10"/>
      <c r="H88" s="13"/>
      <c r="I88" s="13"/>
      <c r="J88" s="13">
        <f t="shared" si="1"/>
        <v>0</v>
      </c>
      <c r="K88" s="13" t="s">
        <v>289</v>
      </c>
      <c r="L88" s="13" t="s">
        <v>46</v>
      </c>
      <c r="M88" s="13" cm="1">
        <f t="array" ref="M88">SUMPRODUCT((BOQ[[#This Row],[BOQ Item No]]='WIR Tracking'!$H$7:$H$30)*('WIR Tracking'!$P$7:$P$30="OK")*(('WIR Tracking'!$R$7:$R$30="A - Approved")+('WIR Tracking'!$R$7:$R$30="B - Approved as Noted"))*'WIR Tracking'!$O$7:$O$30)</f>
        <v>0</v>
      </c>
      <c r="N88" s="13">
        <f>BOQ[[#This Row],[Cumulative Executed Qty]]*BOQ[[#This Row],[Contract Rate (SAR)]]</f>
        <v>0</v>
      </c>
      <c r="O88" s="13">
        <f>BOQ[[#This Row],[Contract Qty]]-BOQ[[#This Row],[Cumulative Executed Qty]]</f>
        <v>0</v>
      </c>
      <c r="P88" s="12"/>
    </row>
    <row r="89" spans="3:16">
      <c r="C89" s="10"/>
      <c r="D89" s="10"/>
      <c r="E89" s="10"/>
      <c r="F89" s="30"/>
      <c r="G89" s="10"/>
      <c r="H89" s="13"/>
      <c r="I89" s="13"/>
      <c r="J89" s="13">
        <f t="shared" si="1"/>
        <v>0</v>
      </c>
      <c r="K89" s="13" t="s">
        <v>289</v>
      </c>
      <c r="L89" s="13" t="s">
        <v>46</v>
      </c>
      <c r="M89" s="13" cm="1">
        <f t="array" ref="M89">SUMPRODUCT((BOQ[[#This Row],[BOQ Item No]]='WIR Tracking'!$H$7:$H$30)*('WIR Tracking'!$P$7:$P$30="OK")*(('WIR Tracking'!$R$7:$R$30="A - Approved")+('WIR Tracking'!$R$7:$R$30="B - Approved as Noted"))*'WIR Tracking'!$O$7:$O$30)</f>
        <v>0</v>
      </c>
      <c r="N89" s="13">
        <f>BOQ[[#This Row],[Cumulative Executed Qty]]*BOQ[[#This Row],[Contract Rate (SAR)]]</f>
        <v>0</v>
      </c>
      <c r="O89" s="13">
        <f>BOQ[[#This Row],[Contract Qty]]-BOQ[[#This Row],[Cumulative Executed Qty]]</f>
        <v>0</v>
      </c>
      <c r="P89" s="12"/>
    </row>
    <row r="90" spans="3:16">
      <c r="C90" s="10"/>
      <c r="D90" s="10"/>
      <c r="E90" s="10"/>
      <c r="F90" s="30"/>
      <c r="G90" s="10"/>
      <c r="H90" s="13"/>
      <c r="I90" s="13"/>
      <c r="J90" s="13">
        <f t="shared" si="1"/>
        <v>0</v>
      </c>
      <c r="K90" s="13" t="s">
        <v>289</v>
      </c>
      <c r="L90" s="13" t="s">
        <v>46</v>
      </c>
      <c r="M90" s="13" cm="1">
        <f t="array" ref="M90">SUMPRODUCT((BOQ[[#This Row],[BOQ Item No]]='WIR Tracking'!$H$7:$H$30)*('WIR Tracking'!$P$7:$P$30="OK")*(('WIR Tracking'!$R$7:$R$30="A - Approved")+('WIR Tracking'!$R$7:$R$30="B - Approved as Noted"))*'WIR Tracking'!$O$7:$O$30)</f>
        <v>0</v>
      </c>
      <c r="N90" s="13">
        <f>BOQ[[#This Row],[Cumulative Executed Qty]]*BOQ[[#This Row],[Contract Rate (SAR)]]</f>
        <v>0</v>
      </c>
      <c r="O90" s="13">
        <f>BOQ[[#This Row],[Contract Qty]]-BOQ[[#This Row],[Cumulative Executed Qty]]</f>
        <v>0</v>
      </c>
      <c r="P90" s="12"/>
    </row>
    <row r="91" spans="3:16">
      <c r="C91" s="10"/>
      <c r="D91" s="10"/>
      <c r="E91" s="10"/>
      <c r="F91" s="30"/>
      <c r="G91" s="10"/>
      <c r="H91" s="13"/>
      <c r="I91" s="13"/>
      <c r="J91" s="13">
        <f t="shared" si="1"/>
        <v>0</v>
      </c>
      <c r="K91" s="13" t="s">
        <v>289</v>
      </c>
      <c r="L91" s="13" t="s">
        <v>46</v>
      </c>
      <c r="M91" s="13" cm="1">
        <f t="array" ref="M91">SUMPRODUCT((BOQ[[#This Row],[BOQ Item No]]='WIR Tracking'!$H$7:$H$30)*('WIR Tracking'!$P$7:$P$30="OK")*(('WIR Tracking'!$R$7:$R$30="A - Approved")+('WIR Tracking'!$R$7:$R$30="B - Approved as Noted"))*'WIR Tracking'!$O$7:$O$30)</f>
        <v>0</v>
      </c>
      <c r="N91" s="13">
        <f>BOQ[[#This Row],[Cumulative Executed Qty]]*BOQ[[#This Row],[Contract Rate (SAR)]]</f>
        <v>0</v>
      </c>
      <c r="O91" s="13">
        <f>BOQ[[#This Row],[Contract Qty]]-BOQ[[#This Row],[Cumulative Executed Qty]]</f>
        <v>0</v>
      </c>
      <c r="P91" s="12"/>
    </row>
    <row r="92" spans="3:16">
      <c r="C92" s="10"/>
      <c r="D92" s="10"/>
      <c r="E92" s="10"/>
      <c r="F92" s="30"/>
      <c r="G92" s="10"/>
      <c r="H92" s="13"/>
      <c r="I92" s="13"/>
      <c r="J92" s="13">
        <f t="shared" si="1"/>
        <v>0</v>
      </c>
      <c r="K92" s="13" t="s">
        <v>289</v>
      </c>
      <c r="L92" s="13" t="s">
        <v>46</v>
      </c>
      <c r="M92" s="13" cm="1">
        <f t="array" ref="M92">SUMPRODUCT((BOQ[[#This Row],[BOQ Item No]]='WIR Tracking'!$H$7:$H$30)*('WIR Tracking'!$P$7:$P$30="OK")*(('WIR Tracking'!$R$7:$R$30="A - Approved")+('WIR Tracking'!$R$7:$R$30="B - Approved as Noted"))*'WIR Tracking'!$O$7:$O$30)</f>
        <v>0</v>
      </c>
      <c r="N92" s="13">
        <f>BOQ[[#This Row],[Cumulative Executed Qty]]*BOQ[[#This Row],[Contract Rate (SAR)]]</f>
        <v>0</v>
      </c>
      <c r="O92" s="13">
        <f>BOQ[[#This Row],[Contract Qty]]-BOQ[[#This Row],[Cumulative Executed Qty]]</f>
        <v>0</v>
      </c>
      <c r="P92" s="12"/>
    </row>
    <row r="93" spans="3:16">
      <c r="C93" s="10"/>
      <c r="D93" s="10"/>
      <c r="E93" s="10"/>
      <c r="F93" s="30"/>
      <c r="G93" s="10"/>
      <c r="H93" s="13"/>
      <c r="I93" s="13"/>
      <c r="J93" s="13">
        <f t="shared" si="1"/>
        <v>0</v>
      </c>
      <c r="K93" s="13" t="s">
        <v>289</v>
      </c>
      <c r="L93" s="13" t="s">
        <v>46</v>
      </c>
      <c r="M93" s="13" cm="1">
        <f t="array" ref="M93">SUMPRODUCT((BOQ[[#This Row],[BOQ Item No]]='WIR Tracking'!$H$7:$H$30)*('WIR Tracking'!$P$7:$P$30="OK")*(('WIR Tracking'!$R$7:$R$30="A - Approved")+('WIR Tracking'!$R$7:$R$30="B - Approved as Noted"))*'WIR Tracking'!$O$7:$O$30)</f>
        <v>0</v>
      </c>
      <c r="N93" s="13">
        <f>BOQ[[#This Row],[Cumulative Executed Qty]]*BOQ[[#This Row],[Contract Rate (SAR)]]</f>
        <v>0</v>
      </c>
      <c r="O93" s="13">
        <f>BOQ[[#This Row],[Contract Qty]]-BOQ[[#This Row],[Cumulative Executed Qty]]</f>
        <v>0</v>
      </c>
      <c r="P93" s="12"/>
    </row>
  </sheetData>
  <mergeCells count="2">
    <mergeCell ref="M2:O4"/>
    <mergeCell ref="C2:F4"/>
  </mergeCells>
  <phoneticPr fontId="21" type="noConversion"/>
  <conditionalFormatting sqref="C6:C93">
    <cfRule type="duplicateValues" dxfId="115" priority="1"/>
  </conditionalFormatting>
  <dataValidations count="3">
    <dataValidation type="list" allowBlank="1" showInputMessage="1" showErrorMessage="1" sqref="E7:E93" xr:uid="{7ABA8A4B-3244-4A39-9429-F557D8170E91}">
      <formula1>"Civil, MEP, Architectural, Infrastructure"</formula1>
    </dataValidation>
    <dataValidation type="list" allowBlank="1" showInputMessage="1" showErrorMessage="1" sqref="G7:G93" xr:uid="{8202D97C-BFE9-4139-B551-BAB617C1FECD}">
      <formula1>"m2, m3, Ton, No, Ls, m, Unit, Item, Nr"</formula1>
    </dataValidation>
    <dataValidation type="list" allowBlank="1" showInputMessage="1" showErrorMessage="1" sqref="L7:L93" xr:uid="{76D5EFD1-E392-4898-9E1F-ADEDF1B986C1}">
      <formula1>"No, Addition, Ommission, Rate Change"</formula1>
    </dataValidation>
  </dataValidations>
  <printOptions horizontalCentered="1" verticalCentered="1"/>
  <pageMargins left="0.25" right="0.25" top="0.75" bottom="0.75" header="0.3" footer="0.3"/>
  <pageSetup paperSize="9" scale="5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2:Z30"/>
  <sheetViews>
    <sheetView topLeftCell="E7" workbookViewId="0">
      <selection activeCell="E7" sqref="E7"/>
    </sheetView>
  </sheetViews>
  <sheetFormatPr defaultRowHeight="14.25"/>
  <cols>
    <col min="1" max="1" width="1.59765625" customWidth="1"/>
    <col min="2" max="2" width="32.46484375" customWidth="1"/>
    <col min="3" max="3" width="5.19921875" customWidth="1"/>
    <col min="4" max="4" width="20.6640625" customWidth="1"/>
    <col min="5" max="5" width="36.1328125" customWidth="1"/>
    <col min="6" max="6" width="10.6640625" customWidth="1"/>
    <col min="7" max="7" width="10.86328125" customWidth="1"/>
    <col min="8" max="8" width="13.9296875" customWidth="1"/>
    <col min="9" max="9" width="9.06640625" customWidth="1"/>
    <col min="10" max="10" width="11.06640625" customWidth="1"/>
    <col min="11" max="11" width="14.6640625" customWidth="1"/>
    <col min="12" max="12" width="9.06640625" customWidth="1"/>
    <col min="13" max="13" width="9.3984375" customWidth="1"/>
    <col min="14" max="14" width="12.73046875" customWidth="1"/>
    <col min="16" max="16" width="12.33203125" bestFit="1" customWidth="1"/>
    <col min="17" max="17" width="13.33203125" customWidth="1"/>
    <col min="18" max="18" width="16.9296875" customWidth="1"/>
    <col min="19" max="19" width="9.06640625" customWidth="1"/>
    <col min="20" max="20" width="11.1328125" customWidth="1"/>
  </cols>
  <sheetData>
    <row r="2" spans="2:26" ht="24" customHeight="1">
      <c r="B2" s="138"/>
      <c r="C2" s="138" t="s">
        <v>10</v>
      </c>
      <c r="D2" s="138"/>
      <c r="E2" s="138"/>
      <c r="F2" s="5"/>
      <c r="G2" s="5"/>
      <c r="H2" s="138" t="s">
        <v>11</v>
      </c>
      <c r="I2" s="135"/>
      <c r="J2" s="135"/>
      <c r="K2" s="5"/>
      <c r="L2" s="138"/>
      <c r="M2" s="135"/>
      <c r="N2" s="135"/>
      <c r="O2" s="138" t="s">
        <v>12</v>
      </c>
      <c r="P2" s="135"/>
      <c r="Q2" s="135"/>
      <c r="R2" s="138"/>
      <c r="Y2" t="s">
        <v>290</v>
      </c>
    </row>
    <row r="3" spans="2:26" ht="24" customHeight="1">
      <c r="B3" s="138"/>
      <c r="C3" s="138"/>
      <c r="D3" s="138"/>
      <c r="E3" s="138"/>
      <c r="F3" s="5"/>
      <c r="G3" s="5"/>
      <c r="H3" s="135"/>
      <c r="I3" s="135"/>
      <c r="J3" s="135"/>
      <c r="K3" s="5"/>
      <c r="L3" s="135"/>
      <c r="M3" s="135"/>
      <c r="N3" s="135"/>
      <c r="O3" s="135"/>
      <c r="P3" s="135"/>
      <c r="Q3" s="135"/>
      <c r="R3" s="135"/>
    </row>
    <row r="4" spans="2:26" ht="24" customHeight="1">
      <c r="B4" s="138"/>
      <c r="C4" s="138"/>
      <c r="D4" s="138"/>
      <c r="E4" s="138"/>
      <c r="F4" s="5"/>
      <c r="G4" s="5"/>
      <c r="H4" s="135"/>
      <c r="I4" s="135"/>
      <c r="J4" s="135"/>
      <c r="K4" s="5"/>
      <c r="L4" s="135"/>
      <c r="M4" s="135"/>
      <c r="N4" s="135"/>
      <c r="O4" s="135"/>
      <c r="P4" s="135"/>
      <c r="Q4" s="135"/>
      <c r="R4" s="135"/>
    </row>
    <row r="6" spans="2:26" ht="45.4" customHeight="1">
      <c r="C6" s="51" t="s">
        <v>48</v>
      </c>
      <c r="D6" s="52" t="s">
        <v>49</v>
      </c>
      <c r="E6" s="52" t="s">
        <v>50</v>
      </c>
      <c r="F6" s="52" t="s">
        <v>51</v>
      </c>
      <c r="G6" s="52" t="s">
        <v>52</v>
      </c>
      <c r="H6" s="52" t="s">
        <v>59</v>
      </c>
      <c r="I6" s="52" t="s">
        <v>58</v>
      </c>
      <c r="J6" s="52" t="s">
        <v>53</v>
      </c>
      <c r="K6" s="52" t="s">
        <v>181</v>
      </c>
      <c r="L6" s="52" t="s">
        <v>57</v>
      </c>
      <c r="M6" s="52" t="s">
        <v>54</v>
      </c>
      <c r="N6" s="53" t="s">
        <v>60</v>
      </c>
      <c r="O6" s="52" t="s">
        <v>56</v>
      </c>
      <c r="P6" s="52" t="s">
        <v>55</v>
      </c>
      <c r="Q6" s="52" t="s">
        <v>68</v>
      </c>
      <c r="R6" s="52" t="s">
        <v>69</v>
      </c>
      <c r="S6" s="52" t="s">
        <v>179</v>
      </c>
      <c r="T6" s="52" t="s">
        <v>178</v>
      </c>
      <c r="U6" s="54" t="s">
        <v>172</v>
      </c>
      <c r="W6" t="s">
        <v>240</v>
      </c>
      <c r="X6" t="s">
        <v>241</v>
      </c>
      <c r="Y6" t="s">
        <v>242</v>
      </c>
    </row>
    <row r="7" spans="2:26" ht="43.5" customHeight="1">
      <c r="C7" s="36">
        <v>1</v>
      </c>
      <c r="D7" s="37" t="s">
        <v>61</v>
      </c>
      <c r="E7" s="38" t="str">
        <f>_xlfn.XLOOKUP('WIR Tracking'!$H7,BOQ[BOQ Item No],BOQ[Item Description])</f>
        <v>Clearing and Grubbing</v>
      </c>
      <c r="F7" s="39">
        <v>45144</v>
      </c>
      <c r="G7" s="37"/>
      <c r="H7" s="37">
        <v>20101</v>
      </c>
      <c r="I7" s="37" t="s">
        <v>62</v>
      </c>
      <c r="J7" s="37" t="s">
        <v>279</v>
      </c>
      <c r="K7" s="37" t="s">
        <v>183</v>
      </c>
      <c r="L7" s="37" t="str">
        <f>_xlfn.XLOOKUP('WIR Tracking'!$H7,BOQ[BOQ Item No],BOQ[Unit])</f>
        <v>m2</v>
      </c>
      <c r="M7" s="37">
        <v>1.19</v>
      </c>
      <c r="N7" s="40">
        <v>1</v>
      </c>
      <c r="O7" s="37">
        <v>572551.772</v>
      </c>
      <c r="P7" s="37" t="s">
        <v>65</v>
      </c>
      <c r="Q7" s="37" t="s">
        <v>74</v>
      </c>
      <c r="R7" s="37" t="s">
        <v>70</v>
      </c>
      <c r="S7" s="37"/>
      <c r="T7" s="37" t="str">
        <f>_xlfn.XLOOKUP('WIR Tracking'!$H7,BOQ[BOQ Item No],BOQ[Type Of V.O])</f>
        <v>No</v>
      </c>
      <c r="U7" s="37" t="str">
        <f>_xlfn.XLOOKUP('WIR Tracking'!$H7,BOQ[BOQ Item No],BOQ[V.O No],"N/A")</f>
        <v>N/A</v>
      </c>
      <c r="V7">
        <v>1</v>
      </c>
      <c r="W7">
        <v>2862758.86</v>
      </c>
      <c r="X7">
        <v>0</v>
      </c>
      <c r="Y7">
        <v>2862758.86</v>
      </c>
      <c r="Z7">
        <f>W7/5</f>
        <v>572551.772</v>
      </c>
    </row>
    <row r="8" spans="2:26" ht="43.5" customHeight="1">
      <c r="C8" s="41">
        <v>3</v>
      </c>
      <c r="D8" s="42" t="s">
        <v>63</v>
      </c>
      <c r="E8" s="43" t="str">
        <f>_xlfn.XLOOKUP('WIR Tracking'!$H8,BOQ[BOQ Item No],BOQ[Item Description])</f>
        <v>Unclassified Excavation</v>
      </c>
      <c r="F8" s="44">
        <v>45112</v>
      </c>
      <c r="G8" s="42"/>
      <c r="H8" s="42">
        <v>20301</v>
      </c>
      <c r="I8" s="42" t="s">
        <v>64</v>
      </c>
      <c r="J8" s="42" t="s">
        <v>280</v>
      </c>
      <c r="K8" s="42" t="s">
        <v>183</v>
      </c>
      <c r="L8" s="42" t="str">
        <f>_xlfn.XLOOKUP('WIR Tracking'!$H8,BOQ[BOQ Item No],BOQ[Unit])</f>
        <v>m3</v>
      </c>
      <c r="M8" s="42">
        <v>498.08</v>
      </c>
      <c r="N8" s="45">
        <v>1</v>
      </c>
      <c r="O8" s="42">
        <v>280663.65444444446</v>
      </c>
      <c r="P8" s="42" t="s">
        <v>65</v>
      </c>
      <c r="Q8" s="42" t="s">
        <v>43</v>
      </c>
      <c r="R8" s="42" t="s">
        <v>73</v>
      </c>
      <c r="S8" s="42"/>
      <c r="T8" s="42" t="str">
        <f>_xlfn.XLOOKUP('WIR Tracking'!$H8,BOQ[BOQ Item No],BOQ[Type Of V.O])</f>
        <v>No</v>
      </c>
      <c r="U8" s="42" t="str">
        <f>_xlfn.XLOOKUP('WIR Tracking'!$H8,BOQ[BOQ Item No],BOQ[V.O No],"N/A")</f>
        <v>N/A</v>
      </c>
      <c r="V8">
        <v>2</v>
      </c>
      <c r="W8">
        <v>2525972.89</v>
      </c>
      <c r="X8">
        <v>0</v>
      </c>
      <c r="Y8">
        <v>2525972.89</v>
      </c>
      <c r="Z8">
        <f>Y8/9</f>
        <v>280663.65444444446</v>
      </c>
    </row>
    <row r="9" spans="2:26" ht="43.5" customHeight="1">
      <c r="C9" s="46"/>
      <c r="D9" s="47" t="s">
        <v>264</v>
      </c>
      <c r="E9" s="48" t="str">
        <f>_xlfn.XLOOKUP('WIR Tracking'!$H9,BOQ[BOQ Item No],BOQ[Item Description])</f>
        <v>Embankment</v>
      </c>
      <c r="F9" s="49">
        <v>45113</v>
      </c>
      <c r="G9" s="47"/>
      <c r="H9" s="47">
        <v>20501</v>
      </c>
      <c r="I9" s="47"/>
      <c r="J9" s="47" t="s">
        <v>279</v>
      </c>
      <c r="K9" s="47" t="s">
        <v>183</v>
      </c>
      <c r="L9" s="47" t="str">
        <f>_xlfn.XLOOKUP('WIR Tracking'!$H9,BOQ[BOQ Item No],BOQ[Unit])</f>
        <v>m3</v>
      </c>
      <c r="M9" s="47"/>
      <c r="N9" s="50"/>
      <c r="O9" s="47">
        <v>105664.81954545453</v>
      </c>
      <c r="P9" s="47" t="s">
        <v>65</v>
      </c>
      <c r="Q9" s="47" t="s">
        <v>43</v>
      </c>
      <c r="R9" s="47" t="s">
        <v>73</v>
      </c>
      <c r="S9" s="47"/>
      <c r="T9" s="47" t="str">
        <f>_xlfn.XLOOKUP('WIR Tracking'!$H9,BOQ[BOQ Item No],BOQ[Type Of V.O])</f>
        <v>No</v>
      </c>
      <c r="U9" s="47" t="str">
        <f>_xlfn.XLOOKUP('WIR Tracking'!$H9,BOQ[BOQ Item No],BOQ[V.O No],"N/A")</f>
        <v>N/A</v>
      </c>
      <c r="V9">
        <v>3</v>
      </c>
      <c r="W9">
        <v>2324626.0299999998</v>
      </c>
      <c r="X9">
        <v>0</v>
      </c>
      <c r="Y9">
        <v>2324626.0299999998</v>
      </c>
      <c r="Z9">
        <f>Y9/22</f>
        <v>105664.81954545453</v>
      </c>
    </row>
    <row r="10" spans="2:26" ht="43.5" customHeight="1">
      <c r="C10" s="41"/>
      <c r="D10" s="42" t="s">
        <v>265</v>
      </c>
      <c r="E10" s="43" t="str">
        <f>_xlfn.XLOOKUP('WIR Tracking'!$H10,BOQ[BOQ Item No],BOQ[Item Description])</f>
        <v>Clearing and Grubbing</v>
      </c>
      <c r="F10" s="44">
        <v>45114</v>
      </c>
      <c r="G10" s="42"/>
      <c r="H10" s="42">
        <v>20101</v>
      </c>
      <c r="I10" s="42"/>
      <c r="J10" s="42" t="s">
        <v>281</v>
      </c>
      <c r="K10" s="42" t="s">
        <v>183</v>
      </c>
      <c r="L10" s="42" t="str">
        <f>_xlfn.XLOOKUP('WIR Tracking'!$H10,BOQ[BOQ Item No],BOQ[Unit])</f>
        <v>m2</v>
      </c>
      <c r="M10" s="42"/>
      <c r="N10" s="45"/>
      <c r="O10" s="42">
        <v>572551.772</v>
      </c>
      <c r="P10" s="42" t="s">
        <v>65</v>
      </c>
      <c r="Q10" s="42" t="s">
        <v>43</v>
      </c>
      <c r="R10" s="42" t="s">
        <v>71</v>
      </c>
      <c r="S10" s="42"/>
      <c r="T10" s="42" t="str">
        <f>_xlfn.XLOOKUP('WIR Tracking'!$H10,BOQ[BOQ Item No],BOQ[Type Of V.O])</f>
        <v>No</v>
      </c>
      <c r="U10" s="42" t="str">
        <f>_xlfn.XLOOKUP('WIR Tracking'!$H10,BOQ[BOQ Item No],BOQ[V.O No],"N/A")</f>
        <v>N/A</v>
      </c>
      <c r="V10">
        <v>4</v>
      </c>
      <c r="W10">
        <v>145000</v>
      </c>
      <c r="X10">
        <v>0</v>
      </c>
      <c r="Y10">
        <v>145000</v>
      </c>
    </row>
    <row r="11" spans="2:26" ht="43.5" customHeight="1">
      <c r="C11" s="46"/>
      <c r="D11" s="47" t="s">
        <v>266</v>
      </c>
      <c r="E11" s="48" t="str">
        <f>_xlfn.XLOOKUP('WIR Tracking'!$H11,BOQ[BOQ Item No],BOQ[Item Description])</f>
        <v>Unclassified Excavation</v>
      </c>
      <c r="F11" s="49">
        <v>45115</v>
      </c>
      <c r="G11" s="47"/>
      <c r="H11" s="47">
        <v>20301</v>
      </c>
      <c r="I11" s="47"/>
      <c r="J11" s="47" t="s">
        <v>279</v>
      </c>
      <c r="K11" s="47" t="s">
        <v>183</v>
      </c>
      <c r="L11" s="47" t="str">
        <f>_xlfn.XLOOKUP('WIR Tracking'!$H11,BOQ[BOQ Item No],BOQ[Unit])</f>
        <v>m3</v>
      </c>
      <c r="M11" s="47"/>
      <c r="N11" s="50"/>
      <c r="O11" s="47">
        <v>280663.65444444446</v>
      </c>
      <c r="P11" s="47" t="s">
        <v>66</v>
      </c>
      <c r="Q11" s="42" t="s">
        <v>43</v>
      </c>
      <c r="R11" s="47" t="s">
        <v>72</v>
      </c>
      <c r="S11" s="47"/>
      <c r="T11" s="47" t="str">
        <f>_xlfn.XLOOKUP('WIR Tracking'!$H11,BOQ[BOQ Item No],BOQ[Type Of V.O])</f>
        <v>No</v>
      </c>
      <c r="U11" s="47" t="str">
        <f>_xlfn.XLOOKUP('WIR Tracking'!$H11,BOQ[BOQ Item No],BOQ[V.O No],"N/A")</f>
        <v>N/A</v>
      </c>
      <c r="V11">
        <v>5</v>
      </c>
      <c r="W11">
        <v>0</v>
      </c>
      <c r="X11">
        <v>0</v>
      </c>
      <c r="Y11">
        <v>0</v>
      </c>
    </row>
    <row r="12" spans="2:26" ht="43.5" customHeight="1">
      <c r="C12" s="41"/>
      <c r="D12" s="42" t="s">
        <v>267</v>
      </c>
      <c r="E12" s="43" t="str">
        <f>_xlfn.XLOOKUP('WIR Tracking'!$H12,BOQ[BOQ Item No],BOQ[Item Description])</f>
        <v>Embankment</v>
      </c>
      <c r="F12" s="44">
        <v>45116</v>
      </c>
      <c r="G12" s="42"/>
      <c r="H12" s="42">
        <v>20501</v>
      </c>
      <c r="I12" s="42"/>
      <c r="J12" s="42" t="s">
        <v>280</v>
      </c>
      <c r="K12" s="42" t="s">
        <v>183</v>
      </c>
      <c r="L12" s="42" t="str">
        <f>_xlfn.XLOOKUP('WIR Tracking'!$H12,BOQ[BOQ Item No],BOQ[Unit])</f>
        <v>m3</v>
      </c>
      <c r="M12" s="42"/>
      <c r="N12" s="45"/>
      <c r="O12" s="42">
        <v>105664.81954545453</v>
      </c>
      <c r="P12" s="42" t="s">
        <v>67</v>
      </c>
      <c r="Q12" s="42" t="s">
        <v>43</v>
      </c>
      <c r="R12" s="42" t="s">
        <v>73</v>
      </c>
      <c r="S12" s="42"/>
      <c r="T12" s="42" t="str">
        <f>_xlfn.XLOOKUP('WIR Tracking'!$H12,BOQ[BOQ Item No],BOQ[Type Of V.O])</f>
        <v>No</v>
      </c>
      <c r="U12" s="42" t="str">
        <f>_xlfn.XLOOKUP('WIR Tracking'!$H12,BOQ[BOQ Item No],BOQ[V.O No],"N/A")</f>
        <v>N/A</v>
      </c>
      <c r="V12">
        <v>6</v>
      </c>
      <c r="W12">
        <v>1387.3999999999999</v>
      </c>
      <c r="X12">
        <v>0</v>
      </c>
      <c r="Y12">
        <v>1387.3999999999999</v>
      </c>
    </row>
    <row r="13" spans="2:26" ht="43.5" customHeight="1">
      <c r="C13" s="46"/>
      <c r="D13" s="47" t="s">
        <v>268</v>
      </c>
      <c r="E13" s="48" t="str">
        <f>_xlfn.XLOOKUP('WIR Tracking'!$H13,BOQ[BOQ Item No],BOQ[Item Description])</f>
        <v>Clearing and Grubbing</v>
      </c>
      <c r="F13" s="49">
        <v>45087</v>
      </c>
      <c r="G13" s="47"/>
      <c r="H13" s="47" t="s">
        <v>258</v>
      </c>
      <c r="I13" s="47"/>
      <c r="J13" s="47" t="s">
        <v>180</v>
      </c>
      <c r="K13" s="47" t="s">
        <v>182</v>
      </c>
      <c r="L13" s="47" t="str">
        <f>_xlfn.XLOOKUP('WIR Tracking'!$H13,BOQ[BOQ Item No],BOQ[Unit])</f>
        <v>m2</v>
      </c>
      <c r="M13" s="47"/>
      <c r="N13" s="50"/>
      <c r="O13" s="47">
        <v>572551.772</v>
      </c>
      <c r="P13" s="47" t="s">
        <v>65</v>
      </c>
      <c r="Q13" s="42" t="s">
        <v>74</v>
      </c>
      <c r="R13" s="47" t="s">
        <v>73</v>
      </c>
      <c r="S13" s="47"/>
      <c r="T13" s="47" t="str">
        <f>_xlfn.XLOOKUP('WIR Tracking'!$H13,BOQ[BOQ Item No],BOQ[Type Of V.O])</f>
        <v>No</v>
      </c>
      <c r="U13" s="47" t="str">
        <f>_xlfn.XLOOKUP('WIR Tracking'!$H13,BOQ[BOQ Item No],BOQ[V.O No],"N/A")</f>
        <v>N/A</v>
      </c>
      <c r="V13">
        <v>7</v>
      </c>
      <c r="W13">
        <v>75</v>
      </c>
      <c r="X13">
        <v>0</v>
      </c>
      <c r="Y13">
        <v>75</v>
      </c>
    </row>
    <row r="14" spans="2:26" ht="43.5" customHeight="1">
      <c r="C14" s="41"/>
      <c r="D14" s="42" t="s">
        <v>269</v>
      </c>
      <c r="E14" s="43" t="str">
        <f>_xlfn.XLOOKUP('WIR Tracking'!$H14,BOQ[BOQ Item No],BOQ[Item Description])</f>
        <v>Unclassified Excavation</v>
      </c>
      <c r="F14" s="44">
        <v>45118</v>
      </c>
      <c r="G14" s="42"/>
      <c r="H14" s="42" t="s">
        <v>259</v>
      </c>
      <c r="I14" s="42"/>
      <c r="J14" s="42" t="s">
        <v>180</v>
      </c>
      <c r="K14" s="42" t="s">
        <v>182</v>
      </c>
      <c r="L14" s="42" t="str">
        <f>_xlfn.XLOOKUP('WIR Tracking'!$H14,BOQ[BOQ Item No],BOQ[Unit])</f>
        <v>m3</v>
      </c>
      <c r="M14" s="42"/>
      <c r="N14" s="45"/>
      <c r="O14" s="42">
        <v>280663.65444444446</v>
      </c>
      <c r="P14" s="42" t="s">
        <v>65</v>
      </c>
      <c r="Q14" s="42" t="s">
        <v>74</v>
      </c>
      <c r="R14" s="42" t="s">
        <v>73</v>
      </c>
      <c r="S14" s="42"/>
      <c r="T14" s="42" t="str">
        <f>_xlfn.XLOOKUP('WIR Tracking'!$H14,BOQ[BOQ Item No],BOQ[Type Of V.O])</f>
        <v>No</v>
      </c>
      <c r="U14" s="42" t="str">
        <f>_xlfn.XLOOKUP('WIR Tracking'!$H14,BOQ[BOQ Item No],BOQ[V.O No],"N/A")</f>
        <v>N/A</v>
      </c>
      <c r="V14">
        <v>8</v>
      </c>
      <c r="W14">
        <v>2539.9499999999998</v>
      </c>
      <c r="X14">
        <v>0</v>
      </c>
      <c r="Y14">
        <v>228595.49999999997</v>
      </c>
    </row>
    <row r="15" spans="2:26" ht="43.5" customHeight="1">
      <c r="C15" s="46"/>
      <c r="D15" s="47" t="s">
        <v>270</v>
      </c>
      <c r="E15" s="48" t="str">
        <f>_xlfn.XLOOKUP('WIR Tracking'!$H15,BOQ[BOQ Item No],BOQ[Item Description])</f>
        <v>Embankment</v>
      </c>
      <c r="F15" s="49">
        <v>45119</v>
      </c>
      <c r="G15" s="47"/>
      <c r="H15" s="47" t="s">
        <v>260</v>
      </c>
      <c r="I15" s="47"/>
      <c r="J15" s="47" t="s">
        <v>180</v>
      </c>
      <c r="K15" s="47" t="s">
        <v>182</v>
      </c>
      <c r="L15" s="47" t="str">
        <f>_xlfn.XLOOKUP('WIR Tracking'!$H15,BOQ[BOQ Item No],BOQ[Unit])</f>
        <v>m3</v>
      </c>
      <c r="M15" s="47"/>
      <c r="N15" s="50"/>
      <c r="O15" s="47">
        <v>105664.81954545453</v>
      </c>
      <c r="P15" s="47" t="s">
        <v>65</v>
      </c>
      <c r="Q15" s="42" t="s">
        <v>43</v>
      </c>
      <c r="R15" s="47" t="s">
        <v>71</v>
      </c>
      <c r="S15" s="47"/>
      <c r="T15" s="47" t="str">
        <f>_xlfn.XLOOKUP('WIR Tracking'!$H15,BOQ[BOQ Item No],BOQ[Type Of V.O])</f>
        <v>No</v>
      </c>
      <c r="U15" s="47" t="str">
        <f>_xlfn.XLOOKUP('WIR Tracking'!$H15,BOQ[BOQ Item No],BOQ[V.O No],"N/A")</f>
        <v>N/A</v>
      </c>
      <c r="V15">
        <v>9</v>
      </c>
      <c r="W15">
        <v>0</v>
      </c>
      <c r="X15">
        <v>0</v>
      </c>
      <c r="Y15">
        <v>0</v>
      </c>
    </row>
    <row r="16" spans="2:26" ht="43.5" customHeight="1">
      <c r="C16" s="41"/>
      <c r="D16" s="42" t="s">
        <v>271</v>
      </c>
      <c r="E16" s="43" t="str">
        <f>_xlfn.XLOOKUP('WIR Tracking'!$H16,BOQ[BOQ Item No],BOQ[Item Description])</f>
        <v>Unclassified Excavation</v>
      </c>
      <c r="F16" s="44">
        <v>45120</v>
      </c>
      <c r="G16" s="42"/>
      <c r="H16" s="42" t="s">
        <v>243</v>
      </c>
      <c r="I16" s="42"/>
      <c r="J16" s="42" t="s">
        <v>180</v>
      </c>
      <c r="K16" s="42" t="s">
        <v>182</v>
      </c>
      <c r="L16" s="42" t="str">
        <f>_xlfn.XLOOKUP('WIR Tracking'!$H16,BOQ[BOQ Item No],BOQ[Unit])</f>
        <v>m3</v>
      </c>
      <c r="M16" s="42"/>
      <c r="N16" s="45"/>
      <c r="O16" s="42">
        <v>280663.65444444446</v>
      </c>
      <c r="P16" s="42" t="s">
        <v>65</v>
      </c>
      <c r="Q16" s="42" t="s">
        <v>43</v>
      </c>
      <c r="R16" s="42" t="s">
        <v>73</v>
      </c>
      <c r="S16" s="42"/>
      <c r="T16" s="42" t="str">
        <f>_xlfn.XLOOKUP('WIR Tracking'!$H16,BOQ[BOQ Item No],BOQ[Type Of V.O])</f>
        <v>Addition</v>
      </c>
      <c r="U16" s="42" t="str">
        <f>_xlfn.XLOOKUP('WIR Tracking'!$H16,BOQ[BOQ Item No],BOQ[V.O No],"N/A")</f>
        <v>CO-00629-001</v>
      </c>
      <c r="V16">
        <v>10</v>
      </c>
      <c r="W16">
        <v>0</v>
      </c>
      <c r="X16">
        <v>0</v>
      </c>
      <c r="Y16">
        <v>0</v>
      </c>
    </row>
    <row r="17" spans="3:25" ht="43.5" customHeight="1">
      <c r="C17" s="46"/>
      <c r="D17" s="47" t="s">
        <v>272</v>
      </c>
      <c r="E17" s="48" t="str">
        <f>_xlfn.XLOOKUP('WIR Tracking'!$H17,BOQ[BOQ Item No],BOQ[Item Description])</f>
        <v>Embankment</v>
      </c>
      <c r="F17" s="49">
        <v>45121</v>
      </c>
      <c r="G17" s="47"/>
      <c r="H17" s="47" t="s">
        <v>244</v>
      </c>
      <c r="I17" s="47"/>
      <c r="J17" s="47" t="s">
        <v>279</v>
      </c>
      <c r="K17" s="47" t="s">
        <v>183</v>
      </c>
      <c r="L17" s="47" t="str">
        <f>_xlfn.XLOOKUP('WIR Tracking'!$H17,BOQ[BOQ Item No],BOQ[Unit])</f>
        <v>m3</v>
      </c>
      <c r="M17" s="47"/>
      <c r="N17" s="50"/>
      <c r="O17" s="47">
        <v>105664.81954545453</v>
      </c>
      <c r="P17" s="47" t="s">
        <v>65</v>
      </c>
      <c r="Q17" s="42" t="s">
        <v>74</v>
      </c>
      <c r="R17" s="47" t="s">
        <v>73</v>
      </c>
      <c r="S17" s="47"/>
      <c r="T17" s="47" t="str">
        <f>_xlfn.XLOOKUP('WIR Tracking'!$H17,BOQ[BOQ Item No],BOQ[Type Of V.O])</f>
        <v>Addition</v>
      </c>
      <c r="U17" s="47" t="str">
        <f>_xlfn.XLOOKUP('WIR Tracking'!$H17,BOQ[BOQ Item No],BOQ[V.O No],"N/A")</f>
        <v>CO-00629-001</v>
      </c>
      <c r="V17">
        <v>11</v>
      </c>
      <c r="W17">
        <v>0</v>
      </c>
      <c r="X17">
        <v>0</v>
      </c>
      <c r="Y17">
        <v>0</v>
      </c>
    </row>
    <row r="18" spans="3:25" ht="43.5" customHeight="1">
      <c r="C18" s="41"/>
      <c r="D18" s="42" t="s">
        <v>273</v>
      </c>
      <c r="E18" s="43" t="str">
        <f>_xlfn.XLOOKUP('WIR Tracking'!$H18,BOQ[BOQ Item No],BOQ[Item Description])</f>
        <v>Unclassified Excavation Up To 6m Depth</v>
      </c>
      <c r="F18" s="44">
        <v>45122</v>
      </c>
      <c r="G18" s="42"/>
      <c r="H18" s="42" t="s">
        <v>245</v>
      </c>
      <c r="I18" s="42"/>
      <c r="J18" s="42" t="s">
        <v>180</v>
      </c>
      <c r="K18" s="42" t="s">
        <v>182</v>
      </c>
      <c r="L18" s="42" t="str">
        <f>_xlfn.XLOOKUP('WIR Tracking'!$H18,BOQ[BOQ Item No],BOQ[Unit])</f>
        <v>m3</v>
      </c>
      <c r="M18" s="42"/>
      <c r="N18" s="45"/>
      <c r="O18" s="42">
        <v>280663.65444444446</v>
      </c>
      <c r="P18" s="42" t="s">
        <v>65</v>
      </c>
      <c r="Q18" s="42" t="s">
        <v>43</v>
      </c>
      <c r="R18" s="42" t="s">
        <v>73</v>
      </c>
      <c r="S18" s="42"/>
      <c r="T18" s="42" t="str">
        <f>_xlfn.XLOOKUP('WIR Tracking'!$H18,BOQ[BOQ Item No],BOQ[Type Of V.O])</f>
        <v>Addition</v>
      </c>
      <c r="U18" s="42" t="str">
        <f>_xlfn.XLOOKUP('WIR Tracking'!$H18,BOQ[BOQ Item No],BOQ[V.O No],"N/A")</f>
        <v>CO-00629-002</v>
      </c>
      <c r="V18">
        <v>12</v>
      </c>
      <c r="W18">
        <v>2888</v>
      </c>
      <c r="X18">
        <v>326</v>
      </c>
      <c r="Y18">
        <v>3214</v>
      </c>
    </row>
    <row r="19" spans="3:25" ht="43.5" customHeight="1">
      <c r="C19" s="46"/>
      <c r="D19" s="47" t="s">
        <v>274</v>
      </c>
      <c r="E19" s="48" t="str">
        <f>_xlfn.XLOOKUP('WIR Tracking'!$H19,BOQ[BOQ Item No],BOQ[Item Description])</f>
        <v>Deep Excavation (Over 6m Depth)</v>
      </c>
      <c r="F19" s="49">
        <v>45123</v>
      </c>
      <c r="G19" s="47"/>
      <c r="H19" s="47">
        <v>20301.099999999999</v>
      </c>
      <c r="I19" s="47"/>
      <c r="J19" s="47" t="s">
        <v>281</v>
      </c>
      <c r="K19" s="47" t="s">
        <v>183</v>
      </c>
      <c r="L19" s="47" t="str">
        <f>_xlfn.XLOOKUP('WIR Tracking'!$H19,BOQ[BOQ Item No],BOQ[Unit])</f>
        <v>m3</v>
      </c>
      <c r="M19" s="47"/>
      <c r="N19" s="50"/>
      <c r="O19" s="47">
        <v>280663.65444444446</v>
      </c>
      <c r="P19" s="47" t="s">
        <v>65</v>
      </c>
      <c r="Q19" s="42" t="s">
        <v>43</v>
      </c>
      <c r="R19" s="47" t="s">
        <v>71</v>
      </c>
      <c r="S19" s="47"/>
      <c r="T19" s="47" t="str">
        <f>_xlfn.XLOOKUP('WIR Tracking'!$H19,BOQ[BOQ Item No],BOQ[Type Of V.O])</f>
        <v>Addition</v>
      </c>
      <c r="U19" s="47" t="str">
        <f>_xlfn.XLOOKUP('WIR Tracking'!$H19,BOQ[BOQ Item No],BOQ[V.O No],"N/A")</f>
        <v>CO-00629-002</v>
      </c>
      <c r="V19">
        <v>13</v>
      </c>
      <c r="W19">
        <v>18571.2</v>
      </c>
      <c r="X19">
        <v>2204.7999999999993</v>
      </c>
      <c r="Y19">
        <v>20776</v>
      </c>
    </row>
    <row r="20" spans="3:25" ht="43.5" customHeight="1">
      <c r="C20" s="41"/>
      <c r="D20" s="42" t="s">
        <v>275</v>
      </c>
      <c r="E20" s="43" t="str">
        <f>_xlfn.XLOOKUP('WIR Tracking'!$H20,BOQ[BOQ Item No],BOQ[Item Description])</f>
        <v>Embankment (Rock Fill Over 5m Depth)</v>
      </c>
      <c r="F20" s="44">
        <v>45124</v>
      </c>
      <c r="G20" s="42"/>
      <c r="H20" s="42" t="s">
        <v>246</v>
      </c>
      <c r="I20" s="42"/>
      <c r="J20" s="42" t="s">
        <v>180</v>
      </c>
      <c r="K20" s="42" t="s">
        <v>182</v>
      </c>
      <c r="L20" s="42" t="str">
        <f>_xlfn.XLOOKUP('WIR Tracking'!$H20,BOQ[BOQ Item No],BOQ[Unit])</f>
        <v>m3</v>
      </c>
      <c r="M20" s="42"/>
      <c r="N20" s="45"/>
      <c r="O20" s="42">
        <v>105664.81954545453</v>
      </c>
      <c r="P20" s="42" t="s">
        <v>65</v>
      </c>
      <c r="Q20" s="42" t="s">
        <v>305</v>
      </c>
      <c r="R20" s="42" t="s">
        <v>72</v>
      </c>
      <c r="S20" s="42"/>
      <c r="T20" s="42" t="str">
        <f>_xlfn.XLOOKUP('WIR Tracking'!$H20,BOQ[BOQ Item No],BOQ[Type Of V.O])</f>
        <v>Addition</v>
      </c>
      <c r="U20" s="42" t="str">
        <f>_xlfn.XLOOKUP('WIR Tracking'!$H20,BOQ[BOQ Item No],BOQ[V.O No],"N/A")</f>
        <v>CO-00629-002</v>
      </c>
      <c r="V20">
        <v>14</v>
      </c>
      <c r="W20">
        <v>0</v>
      </c>
      <c r="X20">
        <v>0</v>
      </c>
      <c r="Y20">
        <v>0</v>
      </c>
    </row>
    <row r="21" spans="3:25" ht="43.5" customHeight="1">
      <c r="C21" s="46"/>
      <c r="D21" s="47" t="s">
        <v>276</v>
      </c>
      <c r="E21" s="48" t="str">
        <f>_xlfn.XLOOKUP('WIR Tracking'!$H21,BOQ[BOQ Item No],BOQ[Item Description])</f>
        <v>Soft Embankment (Revised From Original Contract)</v>
      </c>
      <c r="F21" s="49">
        <v>45125</v>
      </c>
      <c r="G21" s="47"/>
      <c r="H21" s="47">
        <v>20501.099999999999</v>
      </c>
      <c r="I21" s="47"/>
      <c r="J21" s="47" t="s">
        <v>279</v>
      </c>
      <c r="K21" s="47" t="s">
        <v>183</v>
      </c>
      <c r="L21" s="47" t="str">
        <f>_xlfn.XLOOKUP('WIR Tracking'!$H21,BOQ[BOQ Item No],BOQ[Unit])</f>
        <v>m3</v>
      </c>
      <c r="M21" s="47"/>
      <c r="N21" s="50"/>
      <c r="O21" s="47">
        <v>105664.81954545453</v>
      </c>
      <c r="P21" s="47" t="s">
        <v>65</v>
      </c>
      <c r="Q21" s="42" t="s">
        <v>74</v>
      </c>
      <c r="R21" s="47" t="s">
        <v>73</v>
      </c>
      <c r="S21" s="47"/>
      <c r="T21" s="47" t="str">
        <f>_xlfn.XLOOKUP('WIR Tracking'!$H21,BOQ[BOQ Item No],BOQ[Type Of V.O])</f>
        <v>Addition</v>
      </c>
      <c r="U21" s="47" t="str">
        <f>_xlfn.XLOOKUP('WIR Tracking'!$H21,BOQ[BOQ Item No],BOQ[V.O No],"N/A")</f>
        <v>CO-00629-002</v>
      </c>
      <c r="V21">
        <v>15</v>
      </c>
      <c r="W21">
        <v>450</v>
      </c>
      <c r="X21">
        <v>3300</v>
      </c>
      <c r="Y21">
        <v>3750</v>
      </c>
    </row>
    <row r="22" spans="3:25" ht="43.5" customHeight="1">
      <c r="C22" s="41"/>
      <c r="D22" s="42" t="s">
        <v>277</v>
      </c>
      <c r="E22" s="43" t="str">
        <f>_xlfn.XLOOKUP('WIR Tracking'!$H22,BOQ[BOQ Item No],BOQ[Item Description])</f>
        <v>Soft Embankment (Additional Qty.)</v>
      </c>
      <c r="F22" s="44">
        <v>45126</v>
      </c>
      <c r="G22" s="42"/>
      <c r="H22" s="42">
        <v>20501.2</v>
      </c>
      <c r="I22" s="42"/>
      <c r="J22" s="42" t="s">
        <v>280</v>
      </c>
      <c r="K22" s="42" t="s">
        <v>183</v>
      </c>
      <c r="L22" s="42" t="str">
        <f>_xlfn.XLOOKUP('WIR Tracking'!$H22,BOQ[BOQ Item No],BOQ[Unit])</f>
        <v>m3</v>
      </c>
      <c r="M22" s="42"/>
      <c r="N22" s="45"/>
      <c r="O22" s="42">
        <v>105664.81954545453</v>
      </c>
      <c r="P22" s="42" t="s">
        <v>65</v>
      </c>
      <c r="Q22" s="42" t="s">
        <v>43</v>
      </c>
      <c r="R22" s="42" t="s">
        <v>73</v>
      </c>
      <c r="S22" s="42"/>
      <c r="T22" s="42" t="str">
        <f>_xlfn.XLOOKUP('WIR Tracking'!$H22,BOQ[BOQ Item No],BOQ[Type Of V.O])</f>
        <v>Addition</v>
      </c>
      <c r="U22" s="42" t="str">
        <f>_xlfn.XLOOKUP('WIR Tracking'!$H22,BOQ[BOQ Item No],BOQ[V.O No],"N/A")</f>
        <v>CO-00629-002</v>
      </c>
      <c r="V22">
        <v>16</v>
      </c>
      <c r="W22">
        <v>0</v>
      </c>
    </row>
    <row r="23" spans="3:25" ht="43.5" customHeight="1">
      <c r="C23" s="46"/>
      <c r="D23" s="47" t="s">
        <v>278</v>
      </c>
      <c r="E23" s="48" t="str">
        <f>_xlfn.XLOOKUP('WIR Tracking'!$H23,BOQ[BOQ Item No],BOQ[Item Description])</f>
        <v>Clearing and Grubbing</v>
      </c>
      <c r="F23" s="49">
        <v>45127</v>
      </c>
      <c r="G23" s="47"/>
      <c r="H23" s="47">
        <v>20101</v>
      </c>
      <c r="I23" s="47"/>
      <c r="J23" s="47" t="s">
        <v>281</v>
      </c>
      <c r="K23" s="47" t="s">
        <v>183</v>
      </c>
      <c r="L23" s="47" t="str">
        <f>_xlfn.XLOOKUP('WIR Tracking'!$H23,BOQ[BOQ Item No],BOQ[Unit])</f>
        <v>m2</v>
      </c>
      <c r="M23" s="47"/>
      <c r="N23" s="50"/>
      <c r="O23" s="47">
        <v>572551.772</v>
      </c>
      <c r="P23" s="47" t="s">
        <v>65</v>
      </c>
      <c r="Q23" s="42" t="s">
        <v>43</v>
      </c>
      <c r="R23" s="47" t="s">
        <v>73</v>
      </c>
      <c r="S23" s="47"/>
      <c r="T23" s="47" t="str">
        <f>_xlfn.XLOOKUP('WIR Tracking'!$H23,BOQ[BOQ Item No],BOQ[Type Of V.O])</f>
        <v>No</v>
      </c>
      <c r="U23" s="47" t="str">
        <f>_xlfn.XLOOKUP('WIR Tracking'!$H23,BOQ[BOQ Item No],BOQ[V.O No],"N/A")</f>
        <v>N/A</v>
      </c>
      <c r="V23">
        <v>17</v>
      </c>
      <c r="W23">
        <v>0</v>
      </c>
    </row>
    <row r="24" spans="3:25" ht="28.5">
      <c r="C24" s="41"/>
      <c r="D24" s="42"/>
      <c r="E24" s="43" t="str">
        <f>_xlfn.XLOOKUP('WIR Tracking'!$H24,BOQ[BOQ Item No],BOQ[Item Description])</f>
        <v>Unclassified Excavation</v>
      </c>
      <c r="F24" s="44">
        <v>45128</v>
      </c>
      <c r="G24" s="42"/>
      <c r="H24" s="42">
        <v>20301</v>
      </c>
      <c r="I24" s="42"/>
      <c r="J24" s="42" t="s">
        <v>180</v>
      </c>
      <c r="K24" s="42" t="s">
        <v>182</v>
      </c>
      <c r="L24" s="42" t="str">
        <f>_xlfn.XLOOKUP('WIR Tracking'!$H24,BOQ[BOQ Item No],BOQ[Unit])</f>
        <v>m3</v>
      </c>
      <c r="M24" s="42"/>
      <c r="N24" s="45"/>
      <c r="O24" s="42">
        <v>280663.65444444446</v>
      </c>
      <c r="P24" s="42" t="s">
        <v>65</v>
      </c>
      <c r="Q24" s="42" t="s">
        <v>43</v>
      </c>
      <c r="R24" s="42" t="s">
        <v>70</v>
      </c>
      <c r="S24" s="42"/>
      <c r="T24" s="42" t="str">
        <f>_xlfn.XLOOKUP('WIR Tracking'!$H24,BOQ[BOQ Item No],BOQ[Type Of V.O])</f>
        <v>No</v>
      </c>
      <c r="U24" s="42" t="str">
        <f>_xlfn.XLOOKUP('WIR Tracking'!$H24,BOQ[BOQ Item No],BOQ[V.O No],"N/A")</f>
        <v>N/A</v>
      </c>
      <c r="V24">
        <v>18</v>
      </c>
      <c r="W24">
        <v>0</v>
      </c>
    </row>
    <row r="25" spans="3:25" ht="28.5">
      <c r="C25" s="46"/>
      <c r="D25" s="47"/>
      <c r="E25" s="48" t="str">
        <f>_xlfn.XLOOKUP('WIR Tracking'!$H25,BOQ[BOQ Item No],BOQ[Item Description])</f>
        <v>Embankment</v>
      </c>
      <c r="F25" s="49">
        <v>45129</v>
      </c>
      <c r="G25" s="47"/>
      <c r="H25" s="47">
        <v>20501</v>
      </c>
      <c r="I25" s="47"/>
      <c r="J25" s="47" t="s">
        <v>180</v>
      </c>
      <c r="K25" s="47" t="s">
        <v>182</v>
      </c>
      <c r="L25" s="47" t="str">
        <f>_xlfn.XLOOKUP('WIR Tracking'!$H25,BOQ[BOQ Item No],BOQ[Unit])</f>
        <v>m3</v>
      </c>
      <c r="M25" s="47"/>
      <c r="N25" s="50"/>
      <c r="O25" s="47">
        <v>105664.81954545453</v>
      </c>
      <c r="P25" s="47" t="s">
        <v>65</v>
      </c>
      <c r="Q25" s="42" t="s">
        <v>43</v>
      </c>
      <c r="R25" s="47" t="s">
        <v>70</v>
      </c>
      <c r="S25" s="47"/>
      <c r="T25" s="47" t="str">
        <f>_xlfn.XLOOKUP('WIR Tracking'!$H25,BOQ[BOQ Item No],BOQ[Type Of V.O])</f>
        <v>No</v>
      </c>
      <c r="U25" s="47" t="str">
        <f>_xlfn.XLOOKUP('WIR Tracking'!$H25,BOQ[BOQ Item No],BOQ[V.O No],"N/A")</f>
        <v>N/A</v>
      </c>
      <c r="V25">
        <v>19</v>
      </c>
      <c r="W25">
        <v>0</v>
      </c>
    </row>
    <row r="26" spans="3:25">
      <c r="C26" s="41"/>
      <c r="D26" s="42"/>
      <c r="E26" s="43" t="str">
        <f>_xlfn.XLOOKUP('WIR Tracking'!$H26,BOQ[BOQ Item No],BOQ[Item Description])</f>
        <v>Clearing and Grubbing</v>
      </c>
      <c r="F26" s="44">
        <v>45130</v>
      </c>
      <c r="G26" s="42"/>
      <c r="H26" s="42" t="s">
        <v>258</v>
      </c>
      <c r="I26" s="42"/>
      <c r="J26" s="42" t="s">
        <v>180</v>
      </c>
      <c r="K26" s="42" t="s">
        <v>182</v>
      </c>
      <c r="L26" s="42" t="str">
        <f>_xlfn.XLOOKUP('WIR Tracking'!$H26,BOQ[BOQ Item No],BOQ[Unit])</f>
        <v>m2</v>
      </c>
      <c r="M26" s="42"/>
      <c r="N26" s="45"/>
      <c r="O26" s="42">
        <v>572551.772</v>
      </c>
      <c r="P26" s="42" t="s">
        <v>65</v>
      </c>
      <c r="Q26" s="42" t="s">
        <v>304</v>
      </c>
      <c r="R26" s="42" t="s">
        <v>73</v>
      </c>
      <c r="S26" s="42"/>
      <c r="T26" s="42" t="str">
        <f>_xlfn.XLOOKUP('WIR Tracking'!$H26,BOQ[BOQ Item No],BOQ[Type Of V.O])</f>
        <v>No</v>
      </c>
      <c r="U26" s="42" t="str">
        <f>_xlfn.XLOOKUP('WIR Tracking'!$H26,BOQ[BOQ Item No],BOQ[V.O No],"N/A")</f>
        <v>N/A</v>
      </c>
    </row>
    <row r="27" spans="3:25" ht="28.5">
      <c r="C27" s="46"/>
      <c r="D27" s="47"/>
      <c r="E27" s="48" t="str">
        <f>_xlfn.XLOOKUP('WIR Tracking'!$H27,BOQ[BOQ Item No],BOQ[Item Description])</f>
        <v>Unclassified Excavation</v>
      </c>
      <c r="F27" s="49">
        <v>45131</v>
      </c>
      <c r="G27" s="47"/>
      <c r="H27" s="47" t="s">
        <v>259</v>
      </c>
      <c r="I27" s="47"/>
      <c r="J27" s="47" t="s">
        <v>180</v>
      </c>
      <c r="K27" s="47" t="s">
        <v>182</v>
      </c>
      <c r="L27" s="47" t="str">
        <f>_xlfn.XLOOKUP('WIR Tracking'!$H27,BOQ[BOQ Item No],BOQ[Unit])</f>
        <v>m3</v>
      </c>
      <c r="M27" s="47"/>
      <c r="N27" s="50"/>
      <c r="O27" s="47">
        <v>280663.65444444446</v>
      </c>
      <c r="P27" s="47" t="s">
        <v>65</v>
      </c>
      <c r="Q27" s="42" t="s">
        <v>43</v>
      </c>
      <c r="R27" s="47" t="s">
        <v>70</v>
      </c>
      <c r="S27" s="47"/>
      <c r="T27" s="47" t="str">
        <f>_xlfn.XLOOKUP('WIR Tracking'!$H27,BOQ[BOQ Item No],BOQ[Type Of V.O])</f>
        <v>No</v>
      </c>
      <c r="U27" s="47" t="str">
        <f>_xlfn.XLOOKUP('WIR Tracking'!$H27,BOQ[BOQ Item No],BOQ[V.O No],"N/A")</f>
        <v>N/A</v>
      </c>
    </row>
    <row r="28" spans="3:25" ht="28.5">
      <c r="C28" s="41"/>
      <c r="D28" s="42"/>
      <c r="E28" s="43" t="str">
        <f>_xlfn.XLOOKUP('WIR Tracking'!$H28,BOQ[BOQ Item No],BOQ[Item Description])</f>
        <v>Embankment</v>
      </c>
      <c r="F28" s="44">
        <v>45132</v>
      </c>
      <c r="G28" s="42"/>
      <c r="H28" s="42" t="s">
        <v>260</v>
      </c>
      <c r="I28" s="42"/>
      <c r="J28" s="42" t="s">
        <v>279</v>
      </c>
      <c r="K28" s="42" t="s">
        <v>183</v>
      </c>
      <c r="L28" s="42" t="str">
        <f>_xlfn.XLOOKUP('WIR Tracking'!$H28,BOQ[BOQ Item No],BOQ[Unit])</f>
        <v>m3</v>
      </c>
      <c r="M28" s="42"/>
      <c r="N28" s="45"/>
      <c r="O28" s="42">
        <v>105664.81954545453</v>
      </c>
      <c r="P28" s="42" t="s">
        <v>65</v>
      </c>
      <c r="Q28" s="42" t="s">
        <v>43</v>
      </c>
      <c r="R28" s="42" t="s">
        <v>70</v>
      </c>
      <c r="S28" s="42"/>
      <c r="T28" s="42" t="str">
        <f>_xlfn.XLOOKUP('WIR Tracking'!$H28,BOQ[BOQ Item No],BOQ[Type Of V.O])</f>
        <v>No</v>
      </c>
      <c r="U28" s="42" t="str">
        <f>_xlfn.XLOOKUP('WIR Tracking'!$H28,BOQ[BOQ Item No],BOQ[V.O No],"N/A")</f>
        <v>N/A</v>
      </c>
    </row>
    <row r="29" spans="3:25" ht="28.5">
      <c r="C29" s="46"/>
      <c r="D29" s="47"/>
      <c r="E29" s="48" t="str">
        <f>_xlfn.XLOOKUP('WIR Tracking'!$H29,BOQ[BOQ Item No],BOQ[Item Description])</f>
        <v>Unclassified Excavation</v>
      </c>
      <c r="F29" s="49">
        <v>45133</v>
      </c>
      <c r="G29" s="47"/>
      <c r="H29" s="47" t="s">
        <v>243</v>
      </c>
      <c r="I29" s="47"/>
      <c r="J29" s="47" t="s">
        <v>280</v>
      </c>
      <c r="K29" s="47" t="s">
        <v>183</v>
      </c>
      <c r="L29" s="47" t="str">
        <f>_xlfn.XLOOKUP('WIR Tracking'!$H29,BOQ[BOQ Item No],BOQ[Unit])</f>
        <v>m3</v>
      </c>
      <c r="M29" s="47"/>
      <c r="N29" s="50"/>
      <c r="O29" s="47">
        <v>280663.65444444446</v>
      </c>
      <c r="P29" s="47" t="s">
        <v>65</v>
      </c>
      <c r="Q29" s="42" t="s">
        <v>43</v>
      </c>
      <c r="R29" s="47" t="s">
        <v>70</v>
      </c>
      <c r="S29" s="47"/>
      <c r="T29" s="47" t="str">
        <f>_xlfn.XLOOKUP('WIR Tracking'!$H29,BOQ[BOQ Item No],BOQ[Type Of V.O])</f>
        <v>Addition</v>
      </c>
      <c r="U29" s="47" t="str">
        <f>_xlfn.XLOOKUP('WIR Tracking'!$H29,BOQ[BOQ Item No],BOQ[V.O No],"N/A")</f>
        <v>CO-00629-001</v>
      </c>
    </row>
    <row r="30" spans="3:25" ht="28.5">
      <c r="C30" s="41"/>
      <c r="D30" s="42"/>
      <c r="E30" s="43" t="str">
        <f>_xlfn.XLOOKUP('WIR Tracking'!$H30,BOQ[BOQ Item No],BOQ[Item Description])</f>
        <v>Embankment</v>
      </c>
      <c r="F30" s="44">
        <v>45134</v>
      </c>
      <c r="G30" s="42"/>
      <c r="H30" s="42" t="s">
        <v>244</v>
      </c>
      <c r="I30" s="42"/>
      <c r="J30" s="42" t="s">
        <v>281</v>
      </c>
      <c r="K30" s="42"/>
      <c r="L30" s="42" t="str">
        <f>_xlfn.XLOOKUP('WIR Tracking'!$H30,BOQ[BOQ Item No],BOQ[Unit])</f>
        <v>m3</v>
      </c>
      <c r="M30" s="42"/>
      <c r="N30" s="45"/>
      <c r="O30" s="42">
        <v>105664.81954545453</v>
      </c>
      <c r="P30" s="42" t="s">
        <v>65</v>
      </c>
      <c r="Q30" s="42" t="s">
        <v>43</v>
      </c>
      <c r="R30" s="42" t="s">
        <v>70</v>
      </c>
      <c r="S30" s="42"/>
      <c r="T30" s="42" t="str">
        <f>_xlfn.XLOOKUP('WIR Tracking'!$H30,BOQ[BOQ Item No],BOQ[Type Of V.O])</f>
        <v>Addition</v>
      </c>
      <c r="U30" s="42" t="str">
        <f>_xlfn.XLOOKUP('WIR Tracking'!$H30,BOQ[BOQ Item No],BOQ[V.O No],"N/A")</f>
        <v>CO-00629-001</v>
      </c>
    </row>
  </sheetData>
  <mergeCells count="6">
    <mergeCell ref="B2:B4"/>
    <mergeCell ref="H2:J4"/>
    <mergeCell ref="L2:N4"/>
    <mergeCell ref="O2:Q4"/>
    <mergeCell ref="R2:R4"/>
    <mergeCell ref="C2:E4"/>
  </mergeCells>
  <phoneticPr fontId="21" type="noConversion"/>
  <dataValidations count="4">
    <dataValidation type="list" allowBlank="1" showInputMessage="1" showErrorMessage="1" sqref="R7:R30" xr:uid="{550E53A8-B85F-4691-8F78-EC6626DCC5E9}">
      <formula1>"A - Approved, B - Approved as Noted, C - Rejected, Under Review"</formula1>
    </dataValidation>
    <dataValidation type="list" allowBlank="1" showInputMessage="1" showErrorMessage="1" sqref="Q7:Q30" xr:uid="{E2F0BD1F-8423-4065-A66B-CD0A9B1B1429}">
      <formula1>"Civil, MEP, Architectural, Infrastructure"</formula1>
    </dataValidation>
    <dataValidation type="list" allowBlank="1" showInputMessage="1" showErrorMessage="1" sqref="J7:J30" xr:uid="{D7FAD5D8-78DE-4DEE-A487-6BA77D1126E7}">
      <formula1>"Masco,Alajmi,Sub1,Sub2,Sub3"</formula1>
    </dataValidation>
    <dataValidation type="list" allowBlank="1" showInputMessage="1" showErrorMessage="1" sqref="K7:K30" xr:uid="{5E477727-D0D9-4AFB-AA87-C921A1CA04A0}">
      <formula1>"Main, SubContractor"</formula1>
    </dataValidation>
  </dataValidations>
  <printOptions horizontalCentered="1" verticalCentered="1"/>
  <pageMargins left="0.25" right="0.25" top="0.75" bottom="0.75" header="0.3" footer="0.3"/>
  <pageSetup paperSize="9" scale="31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B2:T21"/>
  <sheetViews>
    <sheetView zoomScale="70" zoomScaleNormal="70" workbookViewId="0">
      <selection activeCell="H8" sqref="H8"/>
    </sheetView>
  </sheetViews>
  <sheetFormatPr defaultRowHeight="14.25"/>
  <cols>
    <col min="1" max="1" width="1.796875" customWidth="1"/>
    <col min="2" max="2" width="32.9296875" customWidth="1"/>
    <col min="3" max="3" width="9.9296875" bestFit="1" customWidth="1"/>
    <col min="4" max="4" width="12.796875" bestFit="1" customWidth="1"/>
    <col min="5" max="5" width="12.265625" bestFit="1" customWidth="1"/>
    <col min="6" max="6" width="12.1328125" customWidth="1"/>
    <col min="7" max="7" width="16.33203125" bestFit="1" customWidth="1"/>
    <col min="8" max="8" width="13.6640625" bestFit="1" customWidth="1"/>
    <col min="9" max="9" width="12.1328125" customWidth="1"/>
    <col min="10" max="10" width="15.06640625" customWidth="1"/>
    <col min="11" max="12" width="12.1328125" customWidth="1"/>
    <col min="13" max="13" width="13.33203125" customWidth="1"/>
    <col min="14" max="15" width="12.1328125" customWidth="1"/>
    <col min="16" max="16" width="13.9296875" customWidth="1"/>
    <col min="17" max="19" width="12.1328125" customWidth="1"/>
  </cols>
  <sheetData>
    <row r="2" spans="2:20" ht="24" customHeight="1">
      <c r="B2" s="138" t="s">
        <v>10</v>
      </c>
      <c r="C2" s="135"/>
      <c r="D2" s="135"/>
      <c r="E2" s="138"/>
      <c r="F2" s="135"/>
      <c r="G2" s="135"/>
      <c r="H2" s="138"/>
      <c r="I2" s="135"/>
      <c r="J2" s="135"/>
      <c r="K2" s="135"/>
      <c r="L2" s="138"/>
      <c r="M2" s="138"/>
      <c r="N2" s="135"/>
      <c r="O2" s="135"/>
      <c r="P2" s="5">
        <v>1489873.9555909154</v>
      </c>
    </row>
    <row r="3" spans="2:20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5">
        <v>1669504.148818189</v>
      </c>
    </row>
    <row r="4" spans="2:20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5">
        <v>1711770.076636371</v>
      </c>
    </row>
    <row r="8" spans="2:20" ht="55.15" customHeight="1" thickBot="1">
      <c r="C8" s="17" t="s">
        <v>163</v>
      </c>
      <c r="D8" s="17" t="s">
        <v>13</v>
      </c>
      <c r="E8" s="17" t="s">
        <v>164</v>
      </c>
      <c r="F8" s="17" t="s">
        <v>168</v>
      </c>
      <c r="G8" s="17" t="s">
        <v>181</v>
      </c>
      <c r="H8" s="18" t="s">
        <v>303</v>
      </c>
      <c r="I8" s="17" t="s">
        <v>166</v>
      </c>
      <c r="J8" s="18" t="s">
        <v>175</v>
      </c>
      <c r="K8" s="17" t="s">
        <v>283</v>
      </c>
      <c r="L8" s="32" t="s">
        <v>284</v>
      </c>
      <c r="M8" s="33" t="s">
        <v>285</v>
      </c>
      <c r="N8" s="33" t="s">
        <v>286</v>
      </c>
      <c r="O8" s="33" t="s">
        <v>287</v>
      </c>
      <c r="Q8" s="97" t="e">
        <f>#REF!/#REF!</f>
        <v>#REF!</v>
      </c>
    </row>
    <row r="9" spans="2:20" ht="24" customHeight="1" thickTop="1">
      <c r="C9" s="26"/>
      <c r="D9" s="25">
        <v>46211</v>
      </c>
      <c r="E9" s="25">
        <v>46182</v>
      </c>
      <c r="F9" s="23" t="s">
        <v>180</v>
      </c>
      <c r="G9" s="23" t="s">
        <v>182</v>
      </c>
      <c r="H9" s="23" t="s">
        <v>314</v>
      </c>
      <c r="I9" s="23"/>
      <c r="J9" s="23"/>
      <c r="K9" s="23"/>
      <c r="L9" s="23"/>
      <c r="M9" s="25"/>
      <c r="N9" s="25"/>
      <c r="O9" s="23"/>
    </row>
    <row r="10" spans="2:20" ht="15.75">
      <c r="C10" s="26" t="s">
        <v>388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</row>
    <row r="11" spans="2:20" ht="15.75">
      <c r="C11" s="26" t="s">
        <v>389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2:20" ht="15.75">
      <c r="C12" s="27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4" spans="2:20" ht="48.4" customHeight="1">
      <c r="C14" s="22" t="s">
        <v>30</v>
      </c>
      <c r="D14" s="22" t="s">
        <v>80</v>
      </c>
      <c r="E14" s="22" t="s">
        <v>57</v>
      </c>
      <c r="F14" s="22" t="s">
        <v>282</v>
      </c>
      <c r="G14" s="22" t="s">
        <v>81</v>
      </c>
      <c r="H14" s="22" t="s">
        <v>82</v>
      </c>
      <c r="I14" s="22" t="s">
        <v>170</v>
      </c>
      <c r="J14" s="22" t="s">
        <v>84</v>
      </c>
      <c r="K14" s="22" t="s">
        <v>83</v>
      </c>
      <c r="L14" s="22" t="s">
        <v>171</v>
      </c>
      <c r="M14" s="22" t="s">
        <v>85</v>
      </c>
      <c r="N14" s="22" t="s">
        <v>174</v>
      </c>
      <c r="O14" s="22" t="s">
        <v>169</v>
      </c>
      <c r="P14" s="22" t="s">
        <v>87</v>
      </c>
      <c r="Q14" s="22" t="s">
        <v>86</v>
      </c>
      <c r="R14" s="22" t="s">
        <v>88</v>
      </c>
      <c r="S14" s="22" t="s">
        <v>374</v>
      </c>
    </row>
    <row r="15" spans="2:20">
      <c r="C15" s="23" t="s">
        <v>258</v>
      </c>
      <c r="D15" s="23" t="s">
        <v>89</v>
      </c>
      <c r="E15" s="23" t="s">
        <v>90</v>
      </c>
      <c r="F15" s="55">
        <v>1027305.25</v>
      </c>
      <c r="G15" s="55">
        <v>5</v>
      </c>
      <c r="H15" s="55">
        <v>5136526.25</v>
      </c>
      <c r="I15" s="55">
        <v>1145103.544</v>
      </c>
      <c r="J15" s="55">
        <v>5725517.7199999997</v>
      </c>
      <c r="K15" s="24">
        <v>1.1146672753789586</v>
      </c>
      <c r="L15" s="55">
        <v>0</v>
      </c>
      <c r="M15" s="55">
        <v>0</v>
      </c>
      <c r="N15" s="24">
        <v>0</v>
      </c>
      <c r="O15" s="55">
        <v>1145103.544</v>
      </c>
      <c r="P15" s="55">
        <v>5725517.7199999997</v>
      </c>
      <c r="Q15" s="24">
        <v>1.1146672753789586</v>
      </c>
      <c r="R15" s="23"/>
      <c r="S15" s="58" t="s">
        <v>74</v>
      </c>
      <c r="T15" s="57"/>
    </row>
    <row r="16" spans="2:20">
      <c r="C16" s="23" t="s">
        <v>259</v>
      </c>
      <c r="D16" s="23" t="s">
        <v>91</v>
      </c>
      <c r="E16" s="23" t="s">
        <v>44</v>
      </c>
      <c r="F16" s="55">
        <v>1528119</v>
      </c>
      <c r="G16" s="55">
        <v>18.3</v>
      </c>
      <c r="H16" s="55">
        <v>27964577.699999999</v>
      </c>
      <c r="I16" s="55">
        <v>561327.30888888799</v>
      </c>
      <c r="J16" s="55">
        <v>10272289.75266665</v>
      </c>
      <c r="K16" s="24">
        <v>0.36733219656904209</v>
      </c>
      <c r="L16" s="55">
        <v>0</v>
      </c>
      <c r="M16" s="55">
        <v>0</v>
      </c>
      <c r="N16" s="24">
        <v>0</v>
      </c>
      <c r="O16" s="55">
        <v>561327.30888888799</v>
      </c>
      <c r="P16" s="55">
        <v>10272289.75266665</v>
      </c>
      <c r="Q16" s="24">
        <v>0.36733219656904209</v>
      </c>
      <c r="R16" s="23"/>
      <c r="S16" s="58" t="s">
        <v>74</v>
      </c>
      <c r="T16" s="57"/>
    </row>
    <row r="17" spans="3:20">
      <c r="C17" s="23" t="s">
        <v>243</v>
      </c>
      <c r="D17" s="23" t="s">
        <v>91</v>
      </c>
      <c r="E17" s="23" t="s">
        <v>44</v>
      </c>
      <c r="F17" s="55">
        <v>238000</v>
      </c>
      <c r="G17" s="55">
        <v>10.35</v>
      </c>
      <c r="H17" s="55">
        <v>2463300</v>
      </c>
      <c r="I17" s="55">
        <v>280663.65444444399</v>
      </c>
      <c r="J17" s="55">
        <v>2904868.8234999953</v>
      </c>
      <c r="K17" s="24">
        <v>1.1792590522875799</v>
      </c>
      <c r="L17" s="55">
        <v>0</v>
      </c>
      <c r="M17" s="55">
        <v>0</v>
      </c>
      <c r="N17" s="24">
        <v>0</v>
      </c>
      <c r="O17" s="55">
        <v>280663.65444444399</v>
      </c>
      <c r="P17" s="55">
        <v>2904868.8234999953</v>
      </c>
      <c r="Q17" s="24">
        <v>1.1792590522875799</v>
      </c>
      <c r="R17" s="23"/>
      <c r="S17" s="58" t="s">
        <v>43</v>
      </c>
      <c r="T17" s="57"/>
    </row>
    <row r="18" spans="3:20">
      <c r="C18" s="34" t="s">
        <v>245</v>
      </c>
      <c r="D18" s="34" t="s">
        <v>130</v>
      </c>
      <c r="E18" s="34" t="s">
        <v>44</v>
      </c>
      <c r="F18" s="56">
        <v>727824.4</v>
      </c>
      <c r="G18" s="56">
        <v>18.3</v>
      </c>
      <c r="H18" s="56">
        <v>13319186.520000001</v>
      </c>
      <c r="I18" s="56">
        <v>280663.65444444399</v>
      </c>
      <c r="J18" s="56">
        <v>5136144.8763333252</v>
      </c>
      <c r="K18" s="35">
        <v>0.3856200128004007</v>
      </c>
      <c r="L18" s="56">
        <v>0</v>
      </c>
      <c r="M18" s="56">
        <v>0</v>
      </c>
      <c r="N18" s="35">
        <v>0</v>
      </c>
      <c r="O18" s="56">
        <v>280663.65444444399</v>
      </c>
      <c r="P18" s="56">
        <v>5136144.8763333252</v>
      </c>
      <c r="Q18" s="35">
        <v>0.3856200128004007</v>
      </c>
      <c r="R18" s="34"/>
      <c r="S18" s="59" t="s">
        <v>43</v>
      </c>
      <c r="T18" s="57"/>
    </row>
    <row r="19" spans="3:20">
      <c r="C19" s="34">
        <v>20301</v>
      </c>
      <c r="D19" s="34" t="s">
        <v>91</v>
      </c>
      <c r="E19" s="34" t="s">
        <v>44</v>
      </c>
      <c r="F19" s="56">
        <v>2525972.89</v>
      </c>
      <c r="G19" s="56">
        <v>10.35</v>
      </c>
      <c r="H19" s="56">
        <v>26143819.411499999</v>
      </c>
      <c r="I19" s="56">
        <v>280663.65444444399</v>
      </c>
      <c r="J19" s="56">
        <v>2904868.8234999953</v>
      </c>
      <c r="K19" s="35">
        <v>0.11111111111111094</v>
      </c>
      <c r="L19" s="56">
        <v>0</v>
      </c>
      <c r="M19" s="56">
        <v>0</v>
      </c>
      <c r="N19" s="35">
        <v>0</v>
      </c>
      <c r="O19" s="56">
        <v>280663.65444444399</v>
      </c>
      <c r="P19" s="56">
        <v>2904868.8234999953</v>
      </c>
      <c r="Q19" s="35">
        <v>0.11111111111111094</v>
      </c>
      <c r="R19" s="34"/>
      <c r="S19" s="59" t="s">
        <v>43</v>
      </c>
      <c r="T19" s="57"/>
    </row>
    <row r="20" spans="3:20">
      <c r="C20" s="34">
        <v>20501</v>
      </c>
      <c r="D20" s="34" t="s">
        <v>92</v>
      </c>
      <c r="E20" s="34" t="s">
        <v>44</v>
      </c>
      <c r="F20" s="56">
        <v>2324626.0299999998</v>
      </c>
      <c r="G20" s="56">
        <v>14.1</v>
      </c>
      <c r="H20" s="56">
        <v>32777227.022999994</v>
      </c>
      <c r="I20" s="56">
        <v>105664.819545455</v>
      </c>
      <c r="J20" s="56">
        <v>1489873.9555909154</v>
      </c>
      <c r="K20" s="35">
        <v>4.5454545454545657E-2</v>
      </c>
      <c r="L20" s="56">
        <v>0</v>
      </c>
      <c r="M20" s="56">
        <v>0</v>
      </c>
      <c r="N20" s="35">
        <v>0</v>
      </c>
      <c r="O20" s="56">
        <v>105664.819545455</v>
      </c>
      <c r="P20" s="56">
        <v>1489873.9555909154</v>
      </c>
      <c r="Q20" s="35">
        <v>4.5454545454545657E-2</v>
      </c>
      <c r="R20" s="34"/>
      <c r="S20" s="59" t="s">
        <v>43</v>
      </c>
    </row>
    <row r="21" spans="3:20">
      <c r="C21" s="34"/>
      <c r="D21" s="34" t="s">
        <v>288</v>
      </c>
      <c r="E21" s="34"/>
      <c r="F21" s="56"/>
      <c r="G21" s="56"/>
      <c r="H21" s="56">
        <v>249794890.28999999</v>
      </c>
      <c r="I21" s="56"/>
      <c r="J21" s="56">
        <v>28433563.951590884</v>
      </c>
      <c r="K21" s="35">
        <v>0.11382764442691709</v>
      </c>
      <c r="L21" s="56"/>
      <c r="M21" s="56">
        <v>0</v>
      </c>
      <c r="N21" s="35">
        <v>0</v>
      </c>
      <c r="O21" s="56"/>
      <c r="P21" s="56">
        <v>28433563.951590884</v>
      </c>
      <c r="Q21" s="35">
        <v>0.11382764442691709</v>
      </c>
      <c r="R21" s="34"/>
      <c r="S21" s="59"/>
    </row>
  </sheetData>
  <mergeCells count="4">
    <mergeCell ref="B2:D4"/>
    <mergeCell ref="E2:G4"/>
    <mergeCell ref="H2:K4"/>
    <mergeCell ref="L2:O4"/>
  </mergeCells>
  <phoneticPr fontId="21" type="noConversion"/>
  <dataValidations count="7">
    <dataValidation type="list" allowBlank="1" showInputMessage="1" showErrorMessage="1" sqref="J9:J12" xr:uid="{8995C638-F956-4672-9B29-2426C82EFC2D}">
      <formula1>"% Performance, Unit Rate"</formula1>
    </dataValidation>
    <dataValidation type="list" allowBlank="1" showInputMessage="1" showErrorMessage="1" sqref="L9" xr:uid="{D4F91596-4D3C-44C1-8463-8E15A0FD408B}">
      <formula1>$C$9:$C$12</formula1>
    </dataValidation>
    <dataValidation type="list" allowBlank="1" showInputMessage="1" showErrorMessage="1" sqref="F9" xr:uid="{1DB1E780-ADB3-4284-85A4-74AF35FE40DB}">
      <formula1>"All, Masco,Alajmi,Sub1,Sub2,Sub3"</formula1>
    </dataValidation>
    <dataValidation type="list" allowBlank="1" showInputMessage="1" showErrorMessage="1" sqref="O10" xr:uid="{55686750-1570-404E-865C-B208704FE85B}">
      <formula1>"Main, SubContractor"</formula1>
    </dataValidation>
    <dataValidation type="list" allowBlank="1" showInputMessage="1" showErrorMessage="1" sqref="O9" xr:uid="{987EDDF1-18FC-41C7-A54C-E0638B3BA5CB}">
      <formula1>"All, Main, All SubContractor, Masco,Alajmi,Sub1,Sub2,Sub3"</formula1>
    </dataValidation>
    <dataValidation type="list" allowBlank="1" showInputMessage="1" showErrorMessage="1" sqref="G9" xr:uid="{CAF92E15-88CC-4E76-92C7-A4FC2C565449}">
      <formula1>"All, SubContractor, Main"</formula1>
    </dataValidation>
    <dataValidation type="list" allowBlank="1" showInputMessage="1" showErrorMessage="1" sqref="H9" xr:uid="{54FE0BF4-549B-4C30-BC20-12D7D4E6A3E5}">
      <formula1>"Lumpsum, Unit Rate"</formula1>
    </dataValidation>
  </dataValidations>
  <pageMargins left="0.25" right="0.25" top="0.75" bottom="0.75" header="0.3" footer="0.3"/>
  <pageSetup paperSize="8" scale="74" orientation="landscape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941C1-05E9-4B34-9766-2482235DC200}">
  <sheetPr codeName="Sheet16"/>
  <dimension ref="B2:M10"/>
  <sheetViews>
    <sheetView topLeftCell="E7" workbookViewId="0">
      <selection activeCell="E7" sqref="E7"/>
    </sheetView>
  </sheetViews>
  <sheetFormatPr defaultRowHeight="14.25"/>
  <cols>
    <col min="1" max="1" width="2.265625" customWidth="1"/>
    <col min="2" max="2" width="30.796875" customWidth="1"/>
  </cols>
  <sheetData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  <row r="10" spans="2:13" ht="21">
      <c r="B10" s="4"/>
    </row>
  </sheetData>
  <mergeCells count="4">
    <mergeCell ref="B2:D4"/>
    <mergeCell ref="E2:G4"/>
    <mergeCell ref="H2:J4"/>
    <mergeCell ref="K2:M4"/>
  </mergeCells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B2:X18"/>
  <sheetViews>
    <sheetView view="pageBreakPreview" zoomScale="70" zoomScaleNormal="70" zoomScaleSheetLayoutView="70" workbookViewId="0">
      <selection activeCell="X18" sqref="X18"/>
    </sheetView>
  </sheetViews>
  <sheetFormatPr defaultRowHeight="14.25"/>
  <cols>
    <col min="1" max="1" width="2.06640625" customWidth="1"/>
    <col min="2" max="2" width="32.06640625" customWidth="1"/>
    <col min="4" max="6" width="14.33203125" customWidth="1"/>
    <col min="7" max="7" width="18.06640625" bestFit="1" customWidth="1"/>
    <col min="8" max="22" width="14.33203125" customWidth="1"/>
    <col min="23" max="23" width="17.86328125" bestFit="1" customWidth="1"/>
    <col min="24" max="24" width="8.9296875" bestFit="1" customWidth="1"/>
    <col min="25" max="25" width="39.06640625" bestFit="1" customWidth="1"/>
  </cols>
  <sheetData>
    <row r="2" spans="2:24" ht="24" customHeight="1">
      <c r="B2" s="138" t="s">
        <v>10</v>
      </c>
      <c r="C2" s="135"/>
      <c r="D2" s="143"/>
      <c r="E2" s="144"/>
      <c r="F2" s="135"/>
      <c r="G2" s="135"/>
      <c r="H2" s="146"/>
      <c r="I2" s="135"/>
      <c r="J2" s="135"/>
      <c r="K2" s="139"/>
      <c r="L2" s="140"/>
      <c r="M2" s="140"/>
      <c r="N2" s="65"/>
      <c r="O2" s="31"/>
      <c r="P2" s="31"/>
      <c r="Q2" s="96"/>
      <c r="U2" s="95"/>
    </row>
    <row r="3" spans="2:24" ht="24" customHeight="1">
      <c r="B3" s="135"/>
      <c r="C3" s="143"/>
      <c r="D3" s="143"/>
      <c r="E3" s="145"/>
      <c r="F3" s="135"/>
      <c r="G3" s="135"/>
      <c r="H3" s="140"/>
      <c r="I3" s="141"/>
      <c r="J3" s="140"/>
      <c r="K3" s="141"/>
      <c r="L3" s="140"/>
      <c r="M3" s="141"/>
      <c r="U3" s="95"/>
    </row>
    <row r="4" spans="2:24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  <row r="6" spans="2:24" ht="15.75">
      <c r="G6" s="142" t="s">
        <v>298</v>
      </c>
      <c r="H6" s="142"/>
      <c r="I6" s="61">
        <v>0</v>
      </c>
    </row>
    <row r="7" spans="2:24" ht="15.75">
      <c r="G7" s="142" t="s">
        <v>299</v>
      </c>
      <c r="H7" s="142"/>
      <c r="I7" s="62">
        <v>0.05</v>
      </c>
    </row>
    <row r="8" spans="2:24" ht="15.75">
      <c r="G8" s="142" t="s">
        <v>301</v>
      </c>
      <c r="H8" s="142"/>
      <c r="I8" s="62">
        <v>0</v>
      </c>
    </row>
    <row r="10" spans="2:24" ht="79.150000000000006" customHeight="1" thickBot="1">
      <c r="D10" s="60" t="s">
        <v>163</v>
      </c>
      <c r="E10" s="60" t="s">
        <v>13</v>
      </c>
      <c r="F10" s="60" t="s">
        <v>164</v>
      </c>
      <c r="G10" s="60" t="s">
        <v>165</v>
      </c>
      <c r="H10" s="60" t="s">
        <v>384</v>
      </c>
      <c r="I10" s="60" t="s">
        <v>293</v>
      </c>
      <c r="J10" s="93" t="s">
        <v>295</v>
      </c>
      <c r="K10" s="94" t="s">
        <v>381</v>
      </c>
      <c r="L10" s="60" t="s">
        <v>296</v>
      </c>
      <c r="M10" s="60" t="s">
        <v>382</v>
      </c>
      <c r="N10" s="93" t="s">
        <v>294</v>
      </c>
      <c r="O10" s="94" t="s">
        <v>383</v>
      </c>
      <c r="P10" s="60" t="s">
        <v>297</v>
      </c>
      <c r="Q10" s="60" t="s">
        <v>75</v>
      </c>
      <c r="R10" s="60" t="s">
        <v>76</v>
      </c>
      <c r="S10" s="60" t="s">
        <v>77</v>
      </c>
      <c r="T10" s="60" t="s">
        <v>302</v>
      </c>
      <c r="U10" s="60" t="s">
        <v>78</v>
      </c>
      <c r="V10" s="60" t="s">
        <v>291</v>
      </c>
      <c r="W10" s="60" t="s">
        <v>300</v>
      </c>
      <c r="X10" s="60" t="s">
        <v>385</v>
      </c>
    </row>
    <row r="11" spans="2:24" s="23" customFormat="1" ht="14.65" thickTop="1">
      <c r="E11" s="99"/>
      <c r="F11" s="99"/>
      <c r="G11" s="100"/>
      <c r="H11" s="101"/>
      <c r="I11" s="101">
        <f t="shared" ref="I11:I18" si="0">H11+45</f>
        <v>45</v>
      </c>
      <c r="J11" s="55"/>
      <c r="K11" s="24"/>
      <c r="L11" s="55"/>
      <c r="M11" s="24"/>
      <c r="N11" s="55"/>
      <c r="O11" s="24"/>
      <c r="P11" s="102">
        <f>IF(SUM($P$10:P10)&gt;=$I$6,0,MIN(N11*$I$7,$I$6-SUM($P$10:P10)))</f>
        <v>0</v>
      </c>
      <c r="Q11" s="103">
        <f t="shared" ref="Q11:Q18" si="1">N11-P11</f>
        <v>0</v>
      </c>
      <c r="R11" s="103">
        <f t="shared" ref="R11:R18" si="2">0.15*Q11</f>
        <v>0</v>
      </c>
      <c r="S11" s="103">
        <f t="shared" ref="S11:S18" si="3">Q11+R11</f>
        <v>0</v>
      </c>
      <c r="T11" s="103">
        <f t="shared" ref="T11:T18" si="4">N11*$I$8</f>
        <v>0</v>
      </c>
      <c r="U11" s="103">
        <f t="shared" ref="U11:U18" si="5">S11-T11</f>
        <v>0</v>
      </c>
      <c r="W11" s="60" t="str" cm="1">
        <f t="array" aca="1" ref="W11" ca="1">_xlfn.IFS(
V11="Delivered","Ok",
TODAY()&gt;I11,"Overdue "&amp;(TODAY()-I11)&amp;" Days",
TODAY()=I11,"Due Today",
TODAY()&lt;I11,"Due Through "&amp;(I11-TODAY())&amp;" Days"
)</f>
        <v>Overdue 46196 Days</v>
      </c>
    </row>
    <row r="12" spans="2:24">
      <c r="D12" s="23" t="s">
        <v>167</v>
      </c>
      <c r="E12" s="99">
        <v>45108</v>
      </c>
      <c r="F12" s="99">
        <v>45137</v>
      </c>
      <c r="G12" s="100">
        <v>46240.712118055555</v>
      </c>
      <c r="H12" s="23"/>
      <c r="I12" s="25">
        <f t="shared" si="0"/>
        <v>45</v>
      </c>
      <c r="J12" s="55">
        <v>2862758.86</v>
      </c>
      <c r="K12" s="24">
        <v>1.1460438028482E-2</v>
      </c>
      <c r="L12" s="55">
        <v>45189196.0302727</v>
      </c>
      <c r="M12" s="24">
        <v>0.18090520577826999</v>
      </c>
      <c r="N12" s="55">
        <v>48051954.890272699</v>
      </c>
      <c r="O12" s="24">
        <v>0.192365643806752</v>
      </c>
      <c r="P12" s="102">
        <f>IF(SUM($P$10:P11)&gt;=$I$6,0,MIN(N12*$I$7,$I$6-SUM($P$10:P11)))</f>
        <v>0</v>
      </c>
      <c r="Q12" s="102">
        <f t="shared" si="1"/>
        <v>48051954.890272699</v>
      </c>
      <c r="R12" s="102">
        <f t="shared" si="2"/>
        <v>7207793.2335409047</v>
      </c>
      <c r="S12" s="102">
        <f t="shared" si="3"/>
        <v>55259748.123813607</v>
      </c>
      <c r="T12" s="102">
        <f t="shared" si="4"/>
        <v>0</v>
      </c>
      <c r="U12" s="102">
        <f t="shared" si="5"/>
        <v>55259748.123813607</v>
      </c>
      <c r="V12" s="23"/>
      <c r="W12" s="23" t="str" cm="1">
        <f t="array" aca="1" ref="W12" ca="1">_xlfn.IFS(
V12="Delivered","Ok",
TODAY()&gt;I12,"Overdue "&amp;(TODAY()-I12)&amp;" Days",
TODAY()=I12,"Due Today",
TODAY()&lt;I12,"Due Through "&amp;(I12-TODAY())&amp;" Days"
)</f>
        <v>Overdue 46196 Days</v>
      </c>
      <c r="X12" s="23" t="s">
        <v>386</v>
      </c>
    </row>
    <row r="13" spans="2:24">
      <c r="D13" s="23" t="s">
        <v>167</v>
      </c>
      <c r="E13" s="99">
        <v>45108</v>
      </c>
      <c r="F13" s="99">
        <v>45137</v>
      </c>
      <c r="G13" s="100">
        <v>46240.729699074072</v>
      </c>
      <c r="H13" s="23"/>
      <c r="I13" s="25">
        <f t="shared" si="0"/>
        <v>45</v>
      </c>
      <c r="J13" s="55">
        <v>2862758.86</v>
      </c>
      <c r="K13" s="24">
        <v>1.1460438028482E-2</v>
      </c>
      <c r="L13" s="55">
        <v>45189196.0302727</v>
      </c>
      <c r="M13" s="24">
        <v>0.18090520577826999</v>
      </c>
      <c r="N13" s="55">
        <v>48051954.890272699</v>
      </c>
      <c r="O13" s="24">
        <v>0.192365643806752</v>
      </c>
      <c r="P13" s="102">
        <f>IF(SUM($P$10:P12)&gt;=$I$6,0,MIN(N13*$I$7,$I$6-SUM($P$10:P12)))</f>
        <v>0</v>
      </c>
      <c r="Q13" s="102">
        <f t="shared" si="1"/>
        <v>48051954.890272699</v>
      </c>
      <c r="R13" s="102">
        <f t="shared" si="2"/>
        <v>7207793.2335409047</v>
      </c>
      <c r="S13" s="102">
        <f t="shared" si="3"/>
        <v>55259748.123813607</v>
      </c>
      <c r="T13" s="102">
        <f t="shared" si="4"/>
        <v>0</v>
      </c>
      <c r="U13" s="102">
        <f t="shared" si="5"/>
        <v>55259748.123813607</v>
      </c>
      <c r="V13" s="23"/>
      <c r="W13" s="23" t="str" cm="1">
        <f t="array" aca="1" ref="W13" ca="1">_xlfn.IFS(
V13="Delivered","Ok",
TODAY()&gt;I13,"Overdue "&amp;(TODAY()-I13)&amp;" Days",
TODAY()=I13,"Due Today",
TODAY()&lt;I13,"Due Through "&amp;(I13-TODAY())&amp;" Days"
)</f>
        <v>Overdue 46196 Days</v>
      </c>
      <c r="X13" s="23"/>
    </row>
    <row r="14" spans="2:24">
      <c r="D14" s="23" t="s">
        <v>167</v>
      </c>
      <c r="E14" s="99">
        <v>45108</v>
      </c>
      <c r="F14" s="99">
        <v>45137</v>
      </c>
      <c r="G14" s="100">
        <v>46240.733483796299</v>
      </c>
      <c r="H14" s="23"/>
      <c r="I14" s="25">
        <f t="shared" si="0"/>
        <v>45</v>
      </c>
      <c r="J14" s="55">
        <v>2862758.86</v>
      </c>
      <c r="K14" s="24">
        <v>1.1460438028482E-2</v>
      </c>
      <c r="L14" s="55">
        <v>45189196.0302727</v>
      </c>
      <c r="M14" s="24">
        <v>0.18090520577826999</v>
      </c>
      <c r="N14" s="55">
        <v>48051954.890272699</v>
      </c>
      <c r="O14" s="24">
        <v>0.192365643806752</v>
      </c>
      <c r="P14" s="102">
        <f>IF(SUM($P$10:P13)&gt;=$I$6,0,MIN(N14*$I$7,$I$6-SUM($P$10:P13)))</f>
        <v>0</v>
      </c>
      <c r="Q14" s="102">
        <f t="shared" si="1"/>
        <v>48051954.890272699</v>
      </c>
      <c r="R14" s="102">
        <f t="shared" si="2"/>
        <v>7207793.2335409047</v>
      </c>
      <c r="S14" s="102">
        <f t="shared" si="3"/>
        <v>55259748.123813607</v>
      </c>
      <c r="T14" s="102">
        <f t="shared" si="4"/>
        <v>0</v>
      </c>
      <c r="U14" s="102">
        <f t="shared" si="5"/>
        <v>55259748.123813607</v>
      </c>
      <c r="V14" s="23"/>
      <c r="W14" s="23" t="str" cm="1">
        <f t="array" aca="1" ref="W14" ca="1">_xlfn.IFS(
V14="Delivered","Ok",
TODAY()&gt;I14,"Overdue "&amp;(TODAY()-I14)&amp;" Days",
TODAY()=I14,"Due Today",
TODAY()&lt;I14,"Due Through "&amp;(I14-TODAY())&amp;" Days"
)</f>
        <v>Overdue 46196 Days</v>
      </c>
      <c r="X14" s="23"/>
    </row>
    <row r="15" spans="2:24">
      <c r="D15" s="23" t="s">
        <v>167</v>
      </c>
      <c r="E15" s="99">
        <v>45108</v>
      </c>
      <c r="F15" s="99">
        <v>45137</v>
      </c>
      <c r="G15" s="100">
        <v>46240.734131944446</v>
      </c>
      <c r="H15" s="23"/>
      <c r="I15" s="25">
        <f t="shared" si="0"/>
        <v>45</v>
      </c>
      <c r="J15" s="55">
        <v>2862758.86</v>
      </c>
      <c r="K15" s="24">
        <v>1.1460438028482E-2</v>
      </c>
      <c r="L15" s="55">
        <v>45189196.0302727</v>
      </c>
      <c r="M15" s="24">
        <v>0.18090520577826999</v>
      </c>
      <c r="N15" s="55">
        <v>48051954.890272699</v>
      </c>
      <c r="O15" s="24">
        <v>0.192365643806752</v>
      </c>
      <c r="P15" s="102">
        <f>IF(SUM($P$10:P14)&gt;=$I$6,0,MIN(N15*$I$7,$I$6-SUM($P$10:P14)))</f>
        <v>0</v>
      </c>
      <c r="Q15" s="102">
        <f t="shared" si="1"/>
        <v>48051954.890272699</v>
      </c>
      <c r="R15" s="102">
        <f t="shared" si="2"/>
        <v>7207793.2335409047</v>
      </c>
      <c r="S15" s="102">
        <f t="shared" si="3"/>
        <v>55259748.123813607</v>
      </c>
      <c r="T15" s="102">
        <f t="shared" si="4"/>
        <v>0</v>
      </c>
      <c r="U15" s="102">
        <f t="shared" si="5"/>
        <v>55259748.123813607</v>
      </c>
      <c r="V15" s="23"/>
      <c r="W15" s="23" t="str" cm="1">
        <f t="array" aca="1" ref="W15" ca="1">_xlfn.IFS(
V15="Delivered","Ok",
TODAY()&gt;I15,"Overdue "&amp;(TODAY()-I15)&amp;" Days",
TODAY()=I15,"Due Today",
TODAY()&lt;I15,"Due Through "&amp;(I15-TODAY())&amp;" Days"
)</f>
        <v>Overdue 46196 Days</v>
      </c>
      <c r="X15" s="23"/>
    </row>
    <row r="16" spans="2:24">
      <c r="D16" s="23" t="s">
        <v>167</v>
      </c>
      <c r="E16" s="99">
        <v>45108</v>
      </c>
      <c r="F16" s="99">
        <v>45137</v>
      </c>
      <c r="G16" s="100">
        <v>46240.734432870369</v>
      </c>
      <c r="H16" s="23"/>
      <c r="I16" s="25">
        <f t="shared" si="0"/>
        <v>45</v>
      </c>
      <c r="J16" s="55">
        <v>2862758.86</v>
      </c>
      <c r="K16" s="24">
        <v>1.1460438028482E-2</v>
      </c>
      <c r="L16" s="55">
        <v>45189196.0302727</v>
      </c>
      <c r="M16" s="24">
        <v>0.18090520577826999</v>
      </c>
      <c r="N16" s="55">
        <v>48051954.890272699</v>
      </c>
      <c r="O16" s="24">
        <v>0.192365643806752</v>
      </c>
      <c r="P16" s="102">
        <f>IF(SUM($P$10:P15)&gt;=$I$6,0,MIN(N16*$I$7,$I$6-SUM($P$10:P15)))</f>
        <v>0</v>
      </c>
      <c r="Q16" s="102">
        <f t="shared" si="1"/>
        <v>48051954.890272699</v>
      </c>
      <c r="R16" s="102">
        <f t="shared" si="2"/>
        <v>7207793.2335409047</v>
      </c>
      <c r="S16" s="102">
        <f t="shared" si="3"/>
        <v>55259748.123813607</v>
      </c>
      <c r="T16" s="102">
        <f t="shared" si="4"/>
        <v>0</v>
      </c>
      <c r="U16" s="102">
        <f t="shared" si="5"/>
        <v>55259748.123813607</v>
      </c>
      <c r="V16" s="23"/>
      <c r="W16" s="23" t="str" cm="1">
        <f t="array" aca="1" ref="W16" ca="1">_xlfn.IFS(
V16="Delivered","Ok",
TODAY()&gt;I16,"Overdue "&amp;(TODAY()-I16)&amp;" Days",
TODAY()=I16,"Due Today",
TODAY()&lt;I16,"Due Through "&amp;(I16-TODAY())&amp;" Days"
)</f>
        <v>Overdue 46196 Days</v>
      </c>
      <c r="X16" s="23"/>
    </row>
    <row r="17" spans="4:24">
      <c r="D17" s="23" t="s">
        <v>167</v>
      </c>
      <c r="E17" s="99">
        <v>45108</v>
      </c>
      <c r="F17" s="99">
        <v>45137</v>
      </c>
      <c r="G17" s="100">
        <v>46240.738020833334</v>
      </c>
      <c r="H17" s="23"/>
      <c r="I17" s="25">
        <f t="shared" si="0"/>
        <v>45</v>
      </c>
      <c r="J17" s="55">
        <v>2862758.86</v>
      </c>
      <c r="K17" s="24">
        <v>1.1460438028482E-2</v>
      </c>
      <c r="L17" s="55">
        <v>45189196.0302727</v>
      </c>
      <c r="M17" s="24">
        <v>0.18090520577826999</v>
      </c>
      <c r="N17" s="55">
        <v>48051954.890272699</v>
      </c>
      <c r="O17" s="24">
        <v>0.192365643806752</v>
      </c>
      <c r="P17" s="102">
        <f>IF(SUM($P$10:P16)&gt;=$I$6,0,MIN(N17*$I$7,$I$6-SUM($P$10:P16)))</f>
        <v>0</v>
      </c>
      <c r="Q17" s="102">
        <f t="shared" si="1"/>
        <v>48051954.890272699</v>
      </c>
      <c r="R17" s="102">
        <f t="shared" si="2"/>
        <v>7207793.2335409047</v>
      </c>
      <c r="S17" s="102">
        <f t="shared" si="3"/>
        <v>55259748.123813607</v>
      </c>
      <c r="T17" s="102">
        <f t="shared" si="4"/>
        <v>0</v>
      </c>
      <c r="U17" s="102">
        <f t="shared" si="5"/>
        <v>55259748.123813607</v>
      </c>
      <c r="V17" s="23"/>
      <c r="W17" s="23" t="str" cm="1">
        <f t="array" aca="1" ref="W17" ca="1">_xlfn.IFS(
V17="Delivered","Ok",
TODAY()&gt;I17,"Overdue "&amp;(TODAY()-I17)&amp;" Days",
TODAY()=I17,"Due Today",
TODAY()&lt;I17,"Due Through "&amp;(I17-TODAY())&amp;" Days"
)</f>
        <v>Overdue 46196 Days</v>
      </c>
      <c r="X17" s="23"/>
    </row>
    <row r="18" spans="4:24">
      <c r="D18" s="23" t="s">
        <v>387</v>
      </c>
      <c r="E18" s="99">
        <v>45108</v>
      </c>
      <c r="F18" s="99">
        <v>45137</v>
      </c>
      <c r="G18" s="100">
        <v>46240.767083333332</v>
      </c>
      <c r="H18" s="23"/>
      <c r="I18" s="25">
        <f t="shared" si="0"/>
        <v>45</v>
      </c>
      <c r="J18" s="55">
        <v>2862758.86</v>
      </c>
      <c r="K18" s="24">
        <v>1.1460438028482E-2</v>
      </c>
      <c r="L18" s="55">
        <v>45189196.0302727</v>
      </c>
      <c r="M18" s="24">
        <v>0.18090520577826999</v>
      </c>
      <c r="N18" s="55">
        <v>48051954.890272699</v>
      </c>
      <c r="O18" s="24">
        <v>0.192365643806752</v>
      </c>
      <c r="P18" s="102">
        <f>IF(SUM($P$10:P17)&gt;=$I$6,0,MIN(N18*$I$7,$I$6-SUM($P$10:P17)))</f>
        <v>0</v>
      </c>
      <c r="Q18" s="102">
        <f t="shared" si="1"/>
        <v>48051954.890272699</v>
      </c>
      <c r="R18" s="102">
        <f t="shared" si="2"/>
        <v>7207793.2335409047</v>
      </c>
      <c r="S18" s="102">
        <f t="shared" si="3"/>
        <v>55259748.123813607</v>
      </c>
      <c r="T18" s="102">
        <f t="shared" si="4"/>
        <v>0</v>
      </c>
      <c r="U18" s="102">
        <f t="shared" si="5"/>
        <v>55259748.123813607</v>
      </c>
      <c r="V18" s="23"/>
      <c r="W18" s="23" t="str" cm="1">
        <f t="array" aca="1" ref="W18" ca="1">_xlfn.IFS(
V18="Delivered","Ok",
TODAY()&gt;I18,"Overdue "&amp;(TODAY()-I18)&amp;" Days",
TODAY()=I18,"Due Today",
TODAY()&lt;I18,"Due Through "&amp;(I18-TODAY())&amp;" Days"
)</f>
        <v>Overdue 46196 Days</v>
      </c>
      <c r="X18" s="23"/>
    </row>
  </sheetData>
  <mergeCells count="7">
    <mergeCell ref="K2:M4"/>
    <mergeCell ref="G6:H6"/>
    <mergeCell ref="G7:H7"/>
    <mergeCell ref="G8:H8"/>
    <mergeCell ref="B2:D4"/>
    <mergeCell ref="E2:G4"/>
    <mergeCell ref="H2:J4"/>
  </mergeCells>
  <pageMargins left="0.25" right="0.25" top="0.75" bottom="0.75" header="0.3" footer="0.3"/>
  <pageSetup paperSize="9" scale="37" fitToHeight="0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2:M8"/>
  <sheetViews>
    <sheetView workbookViewId="0"/>
  </sheetViews>
  <sheetFormatPr defaultRowHeight="14.25"/>
  <cols>
    <col min="1" max="1" width="2.19921875" customWidth="1"/>
    <col min="2" max="2" width="28.46484375" customWidth="1"/>
  </cols>
  <sheetData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  <row r="6" spans="2:13" ht="15" customHeight="1"/>
    <row r="7" spans="2:13" ht="15" customHeight="1"/>
    <row r="8" spans="2:13" ht="15" customHeight="1"/>
  </sheetData>
  <mergeCells count="4">
    <mergeCell ref="B2:D4"/>
    <mergeCell ref="E2:G4"/>
    <mergeCell ref="H2:J4"/>
    <mergeCell ref="K2:M4"/>
  </mergeCells>
  <pageMargins left="0.25" right="0.25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M13"/>
  <sheetViews>
    <sheetView topLeftCell="E7" workbookViewId="0">
      <selection activeCell="E7" sqref="E7"/>
    </sheetView>
  </sheetViews>
  <sheetFormatPr defaultRowHeight="14.25"/>
  <cols>
    <col min="1" max="1" width="2.86328125" customWidth="1"/>
    <col min="2" max="2" width="29.265625" customWidth="1"/>
    <col min="3" max="3" width="3.86328125" customWidth="1"/>
    <col min="4" max="4" width="25.3984375" bestFit="1" customWidth="1"/>
    <col min="5" max="5" width="36.73046875" customWidth="1"/>
    <col min="6" max="6" width="15.86328125" customWidth="1"/>
    <col min="7" max="7" width="15.265625" customWidth="1"/>
    <col min="8" max="8" width="16.33203125" bestFit="1" customWidth="1"/>
    <col min="9" max="9" width="10.3984375" customWidth="1"/>
    <col min="10" max="10" width="22.73046875" bestFit="1" customWidth="1"/>
    <col min="11" max="11" width="12.19921875" customWidth="1"/>
    <col min="12" max="12" width="16.73046875" customWidth="1"/>
    <col min="13" max="13" width="1.33203125" customWidth="1"/>
  </cols>
  <sheetData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  <row r="7" spans="2:13" ht="21.4" customHeight="1">
      <c r="D7" s="71" t="s">
        <v>338</v>
      </c>
      <c r="E7" s="71" t="s">
        <v>339</v>
      </c>
      <c r="F7" s="71" t="s">
        <v>292</v>
      </c>
      <c r="G7" s="71" t="s">
        <v>345</v>
      </c>
      <c r="H7" s="71" t="s">
        <v>340</v>
      </c>
      <c r="I7" s="71" t="s">
        <v>341</v>
      </c>
      <c r="J7" s="71" t="s">
        <v>342</v>
      </c>
      <c r="K7" s="71" t="s">
        <v>343</v>
      </c>
      <c r="L7" s="71" t="s">
        <v>344</v>
      </c>
    </row>
    <row r="8" spans="2:13">
      <c r="D8" s="69" t="s">
        <v>347</v>
      </c>
      <c r="E8" s="69" t="s">
        <v>91</v>
      </c>
      <c r="F8" s="72">
        <v>44239</v>
      </c>
      <c r="G8" s="72">
        <v>44249</v>
      </c>
      <c r="H8" s="73">
        <v>6999975</v>
      </c>
      <c r="I8" s="74">
        <v>20</v>
      </c>
      <c r="J8" s="69" t="s">
        <v>176</v>
      </c>
      <c r="K8" s="69" t="s">
        <v>346</v>
      </c>
      <c r="L8" s="69"/>
    </row>
    <row r="9" spans="2:13">
      <c r="D9" s="69" t="s">
        <v>348</v>
      </c>
      <c r="E9" s="69" t="s">
        <v>353</v>
      </c>
      <c r="F9" s="72">
        <v>44413</v>
      </c>
      <c r="G9" s="72">
        <v>44423</v>
      </c>
      <c r="H9" s="73">
        <v>34974506.329999998</v>
      </c>
      <c r="I9" s="74">
        <v>110</v>
      </c>
      <c r="J9" s="69" t="s">
        <v>176</v>
      </c>
      <c r="K9" s="69" t="s">
        <v>346</v>
      </c>
      <c r="L9" s="69"/>
    </row>
    <row r="10" spans="2:13">
      <c r="D10" s="69" t="s">
        <v>349</v>
      </c>
      <c r="E10" s="69" t="s">
        <v>354</v>
      </c>
      <c r="F10" s="72">
        <v>44477</v>
      </c>
      <c r="G10" s="72">
        <v>44489</v>
      </c>
      <c r="H10" s="73">
        <v>3062311.24</v>
      </c>
      <c r="I10" s="74">
        <v>10</v>
      </c>
      <c r="J10" s="69" t="s">
        <v>352</v>
      </c>
      <c r="K10" s="69" t="s">
        <v>346</v>
      </c>
      <c r="L10" s="69"/>
    </row>
    <row r="11" spans="2:13">
      <c r="D11" s="69" t="s">
        <v>350</v>
      </c>
      <c r="E11" s="69" t="s">
        <v>355</v>
      </c>
      <c r="F11" s="72">
        <v>44515</v>
      </c>
      <c r="G11" s="72">
        <v>44528</v>
      </c>
      <c r="H11" s="73">
        <v>9500000</v>
      </c>
      <c r="I11" s="74">
        <v>33</v>
      </c>
      <c r="J11" s="69" t="s">
        <v>352</v>
      </c>
      <c r="K11" s="69" t="s">
        <v>346</v>
      </c>
      <c r="L11" s="69"/>
    </row>
    <row r="12" spans="2:13">
      <c r="D12" s="69" t="s">
        <v>351</v>
      </c>
      <c r="E12" s="69" t="s">
        <v>356</v>
      </c>
      <c r="F12" s="72">
        <v>44532</v>
      </c>
      <c r="G12" s="72">
        <v>44542</v>
      </c>
      <c r="H12" s="73">
        <v>1051763.81</v>
      </c>
      <c r="I12" s="74">
        <v>7</v>
      </c>
      <c r="J12" s="69" t="s">
        <v>352</v>
      </c>
      <c r="K12" s="69" t="s">
        <v>346</v>
      </c>
      <c r="L12" s="69"/>
    </row>
    <row r="13" spans="2:13">
      <c r="D13" s="69" t="s">
        <v>288</v>
      </c>
      <c r="E13" s="69"/>
      <c r="F13" s="69"/>
      <c r="G13" s="69"/>
      <c r="H13" s="73">
        <f>SUBTOTAL(109,Variation_Tracking[Amount (SAR)])</f>
        <v>55588556.380000003</v>
      </c>
      <c r="I13" s="74">
        <f>SUBTOTAL(109,Variation_Tracking[Duration])</f>
        <v>180</v>
      </c>
      <c r="J13" s="69"/>
      <c r="K13" s="69"/>
      <c r="L13" s="69"/>
    </row>
  </sheetData>
  <mergeCells count="4">
    <mergeCell ref="B2:D4"/>
    <mergeCell ref="E2:G4"/>
    <mergeCell ref="H2:J4"/>
    <mergeCell ref="K2:M4"/>
  </mergeCells>
  <phoneticPr fontId="21" type="noConversion"/>
  <dataValidations disablePrompts="1" count="1">
    <dataValidation type="list" allowBlank="1" showInputMessage="1" showErrorMessage="1" sqref="J8:J12" xr:uid="{A298F2F0-EED0-4F71-9819-6804C8B1F375}">
      <formula1>"Addition, Omission, Correction, Mixed (Additio &amp; Omission)"</formula1>
    </dataValidation>
  </dataValidations>
  <pageMargins left="0.25" right="0.25" top="0.75" bottom="0.75" header="0.3" footer="0.3"/>
  <pageSetup paperSize="9" orientation="landscape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M4"/>
  <sheetViews>
    <sheetView workbookViewId="0"/>
  </sheetViews>
  <sheetFormatPr defaultRowHeight="14.25"/>
  <cols>
    <col min="1" max="1" width="2.19921875" customWidth="1"/>
    <col min="2" max="2" width="29.46484375" customWidth="1"/>
  </cols>
  <sheetData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</sheetData>
  <mergeCells count="4">
    <mergeCell ref="B2:D4"/>
    <mergeCell ref="E2:G4"/>
    <mergeCell ref="H2:J4"/>
    <mergeCell ref="K2:M4"/>
  </mergeCells>
  <pageMargins left="0.25" right="0.25" top="0.75" bottom="0.75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2:M4"/>
  <sheetViews>
    <sheetView workbookViewId="0"/>
  </sheetViews>
  <sheetFormatPr defaultRowHeight="14.25"/>
  <cols>
    <col min="1" max="1" width="2.1328125" customWidth="1"/>
    <col min="2" max="2" width="29.86328125" customWidth="1"/>
  </cols>
  <sheetData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</sheetData>
  <mergeCells count="4">
    <mergeCell ref="B2:D4"/>
    <mergeCell ref="E2:G4"/>
    <mergeCell ref="H2:J4"/>
    <mergeCell ref="K2:M4"/>
  </mergeCells>
  <pageMargins left="0.25" right="0.25" top="0.75" bottom="0.75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2:M4"/>
  <sheetViews>
    <sheetView workbookViewId="0"/>
  </sheetViews>
  <sheetFormatPr defaultRowHeight="14.25"/>
  <cols>
    <col min="1" max="1" width="2.19921875" customWidth="1"/>
    <col min="2" max="2" width="27.33203125" customWidth="1"/>
  </cols>
  <sheetData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</sheetData>
  <mergeCells count="4">
    <mergeCell ref="B2:D4"/>
    <mergeCell ref="E2:G4"/>
    <mergeCell ref="H2:J4"/>
    <mergeCell ref="K2:M4"/>
  </mergeCells>
  <pageMargins left="0.25" right="0.25" top="0.75" bottom="0.75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M9"/>
  <sheetViews>
    <sheetView workbookViewId="0"/>
  </sheetViews>
  <sheetFormatPr defaultRowHeight="14.25"/>
  <cols>
    <col min="1" max="1" width="2.265625" customWidth="1"/>
    <col min="2" max="2" width="27.1328125" customWidth="1"/>
  </cols>
  <sheetData>
    <row r="1" spans="2:13" ht="13.5" customHeight="1"/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  <row r="9" spans="2:13" ht="15" customHeight="1"/>
  </sheetData>
  <mergeCells count="4">
    <mergeCell ref="B2:D4"/>
    <mergeCell ref="E2:G4"/>
    <mergeCell ref="H2:J4"/>
    <mergeCell ref="K2:M4"/>
  </mergeCells>
  <pageMargins left="0.25" right="0.25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M4"/>
  <sheetViews>
    <sheetView topLeftCell="A3" workbookViewId="0"/>
  </sheetViews>
  <sheetFormatPr defaultRowHeight="14.25"/>
  <cols>
    <col min="1" max="1" width="1.796875" customWidth="1"/>
    <col min="2" max="2" width="28.1328125" customWidth="1"/>
  </cols>
  <sheetData>
    <row r="2" spans="2:13" ht="24" customHeight="1">
      <c r="B2" s="138" t="s">
        <v>10</v>
      </c>
      <c r="C2" s="135"/>
      <c r="D2" s="135"/>
      <c r="E2" s="138" t="s">
        <v>11</v>
      </c>
      <c r="F2" s="135"/>
      <c r="G2" s="135"/>
      <c r="H2" s="138"/>
      <c r="I2" s="135"/>
      <c r="J2" s="135"/>
      <c r="K2" s="138" t="s">
        <v>12</v>
      </c>
      <c r="L2" s="135"/>
      <c r="M2" s="135"/>
    </row>
    <row r="3" spans="2:13" ht="24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24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</sheetData>
  <mergeCells count="4">
    <mergeCell ref="B2:D4"/>
    <mergeCell ref="E2:G4"/>
    <mergeCell ref="H2:J4"/>
    <mergeCell ref="K2:M4"/>
  </mergeCells>
  <pageMargins left="0.25" right="0.25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3B492-F953-44B2-A515-749C881A3423}">
  <sheetPr codeName="Sheet7"/>
  <dimension ref="C6:F9"/>
  <sheetViews>
    <sheetView workbookViewId="0"/>
  </sheetViews>
  <sheetFormatPr defaultRowHeight="14.25"/>
  <cols>
    <col min="5" max="5" width="18.46484375" bestFit="1" customWidth="1"/>
    <col min="6" max="6" width="12.19921875" bestFit="1" customWidth="1"/>
  </cols>
  <sheetData>
    <row r="6" spans="3:6" ht="27.75">
      <c r="C6" s="7" t="s">
        <v>30</v>
      </c>
      <c r="D6" s="7" t="s">
        <v>31</v>
      </c>
      <c r="E6" s="7" t="s">
        <v>32</v>
      </c>
      <c r="F6" s="7" t="s">
        <v>33</v>
      </c>
    </row>
    <row r="7" spans="3:6" ht="27">
      <c r="C7" s="7" t="s">
        <v>34</v>
      </c>
      <c r="D7" s="8" t="s">
        <v>35</v>
      </c>
      <c r="E7" s="9" t="s">
        <v>36</v>
      </c>
      <c r="F7" s="9" t="s">
        <v>37</v>
      </c>
    </row>
    <row r="8" spans="3:6">
      <c r="C8" s="7" t="s">
        <v>34</v>
      </c>
      <c r="D8" s="8" t="s">
        <v>38</v>
      </c>
      <c r="E8" s="9" t="s">
        <v>39</v>
      </c>
      <c r="F8" s="9" t="s">
        <v>40</v>
      </c>
    </row>
    <row r="9" spans="3:6">
      <c r="C9" s="7" t="s">
        <v>34</v>
      </c>
      <c r="D9" s="8" t="s">
        <v>41</v>
      </c>
      <c r="E9" s="9" t="s">
        <v>42</v>
      </c>
      <c r="F9" s="9" t="s">
        <v>40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80303-35EB-4D2A-99FB-58D4B10D1336}">
  <sheetPr codeName="Sheet22"/>
  <dimension ref="A1:D4"/>
  <sheetViews>
    <sheetView workbookViewId="0"/>
  </sheetViews>
  <sheetFormatPr defaultRowHeight="14.25"/>
  <sheetData>
    <row r="1" spans="1:4">
      <c r="A1" t="s">
        <v>185</v>
      </c>
      <c r="B1" t="s">
        <v>186</v>
      </c>
      <c r="C1" t="s">
        <v>187</v>
      </c>
      <c r="D1" t="s">
        <v>188</v>
      </c>
    </row>
    <row r="2" spans="1:4">
      <c r="A2" t="s">
        <v>6</v>
      </c>
      <c r="B2" t="s">
        <v>189</v>
      </c>
      <c r="C2" t="s">
        <v>190</v>
      </c>
      <c r="D2" t="s">
        <v>191</v>
      </c>
    </row>
    <row r="3" spans="1:4">
      <c r="A3" t="s">
        <v>192</v>
      </c>
      <c r="B3" t="s">
        <v>193</v>
      </c>
      <c r="C3" t="s">
        <v>194</v>
      </c>
      <c r="D3" t="s">
        <v>195</v>
      </c>
    </row>
    <row r="4" spans="1:4">
      <c r="A4" t="s">
        <v>196</v>
      </c>
      <c r="B4" t="s">
        <v>197</v>
      </c>
      <c r="C4" t="s">
        <v>198</v>
      </c>
      <c r="D4" t="s">
        <v>199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4D6F-61FF-4B97-8BD3-AA1426237011}">
  <sheetPr codeName="Sheet23">
    <pageSetUpPr fitToPage="1"/>
  </sheetPr>
  <dimension ref="A1:Q50"/>
  <sheetViews>
    <sheetView view="pageBreakPreview" zoomScale="60" zoomScaleNormal="70" workbookViewId="0">
      <selection activeCell="P25" sqref="P25"/>
    </sheetView>
  </sheetViews>
  <sheetFormatPr defaultRowHeight="15" customHeight="1"/>
  <cols>
    <col min="1" max="1" width="8.59765625" style="69" customWidth="1"/>
    <col min="2" max="2" width="45.59765625" customWidth="1"/>
    <col min="3" max="3" width="8.59765625" customWidth="1"/>
    <col min="4" max="4" width="11.3984375" style="65" bestFit="1" customWidth="1"/>
    <col min="5" max="5" width="10.265625" style="65" bestFit="1" customWidth="1"/>
    <col min="6" max="6" width="13.73046875" style="65" bestFit="1" customWidth="1"/>
    <col min="7" max="7" width="10.59765625" style="65" customWidth="1"/>
    <col min="8" max="8" width="12.59765625" style="65" bestFit="1" customWidth="1"/>
    <col min="9" max="9" width="10.59765625" style="65" customWidth="1"/>
    <col min="10" max="10" width="9.06640625" style="65" bestFit="1" customWidth="1"/>
    <col min="11" max="11" width="11.3984375" style="65" bestFit="1" customWidth="1"/>
    <col min="12" max="12" width="32.265625" style="65" bestFit="1" customWidth="1"/>
    <col min="13" max="13" width="10.59765625" customWidth="1"/>
    <col min="14" max="14" width="12.59765625" customWidth="1"/>
  </cols>
  <sheetData>
    <row r="1" spans="1:14" ht="14.25"/>
    <row r="2" spans="1:14" ht="14.25">
      <c r="A2" s="70" t="s">
        <v>306</v>
      </c>
      <c r="B2" s="63"/>
      <c r="C2" s="63"/>
      <c r="D2" s="66"/>
      <c r="E2" s="66"/>
      <c r="F2" s="66"/>
      <c r="G2" s="66"/>
      <c r="H2" s="66"/>
      <c r="I2" s="66"/>
      <c r="J2" s="86"/>
      <c r="K2" s="86"/>
      <c r="L2" s="86" t="s">
        <v>357</v>
      </c>
      <c r="M2" s="87" t="str">
        <f>Home!E9</f>
        <v>QPMO-410-CT-00629</v>
      </c>
      <c r="N2" s="87"/>
    </row>
    <row r="3" spans="1:14" ht="14.25">
      <c r="A3" s="70"/>
      <c r="B3" s="63"/>
      <c r="C3" s="63"/>
      <c r="D3" s="66"/>
      <c r="E3" s="66"/>
      <c r="F3" s="66"/>
      <c r="G3" s="66"/>
      <c r="H3" s="66"/>
      <c r="I3" s="66"/>
      <c r="J3" s="86"/>
      <c r="K3" s="86"/>
      <c r="L3" s="86" t="s">
        <v>372</v>
      </c>
      <c r="M3" s="88">
        <f>Home!E14+Home!H14</f>
        <v>725</v>
      </c>
      <c r="N3" s="87"/>
    </row>
    <row r="4" spans="1:14" ht="18">
      <c r="A4" s="70" t="s">
        <v>364</v>
      </c>
      <c r="B4" s="63" t="str">
        <f>Home!E10</f>
        <v xml:space="preserve"> Qiddiya Investment Company</v>
      </c>
      <c r="C4" s="63"/>
      <c r="D4" s="89" t="str">
        <f>Home!E8</f>
        <v>Qiddiya Early Work PackageMass grading at Resort Core and City Center</v>
      </c>
      <c r="E4" s="78"/>
      <c r="F4" s="78"/>
      <c r="G4" s="78"/>
      <c r="H4" s="78"/>
      <c r="I4" s="78"/>
      <c r="J4" s="86"/>
      <c r="K4" s="86"/>
      <c r="L4" s="86" t="s">
        <v>358</v>
      </c>
      <c r="M4" s="90">
        <f>Home!E16</f>
        <v>194206333.91</v>
      </c>
      <c r="N4" s="87"/>
    </row>
    <row r="5" spans="1:14" ht="14.25">
      <c r="A5" s="70"/>
      <c r="B5" s="63"/>
      <c r="C5" s="63"/>
      <c r="D5" s="66"/>
      <c r="E5" s="66"/>
      <c r="F5" s="66"/>
      <c r="G5" s="66"/>
      <c r="H5" s="66"/>
      <c r="I5" s="66"/>
      <c r="J5" s="86"/>
      <c r="K5" s="86"/>
      <c r="L5" s="86" t="s">
        <v>367</v>
      </c>
      <c r="M5" s="90">
        <f>'Variation Tracking'!H8</f>
        <v>6999975</v>
      </c>
      <c r="N5" s="87"/>
    </row>
    <row r="6" spans="1:14" ht="14.25">
      <c r="A6" s="70"/>
      <c r="B6" s="63"/>
      <c r="C6" s="63"/>
      <c r="D6" s="66"/>
      <c r="E6" s="66"/>
      <c r="F6" s="66"/>
      <c r="G6" s="66"/>
      <c r="H6" s="66"/>
      <c r="I6" s="66"/>
      <c r="J6" s="86"/>
      <c r="K6" s="86"/>
      <c r="L6" s="86" t="s">
        <v>368</v>
      </c>
      <c r="M6" s="90">
        <f>'Variation Tracking'!H9</f>
        <v>34974506.329999998</v>
      </c>
      <c r="N6" s="87"/>
    </row>
    <row r="7" spans="1:14" ht="14.25">
      <c r="A7" s="70"/>
      <c r="B7" s="63"/>
      <c r="C7" s="63"/>
      <c r="D7" s="66"/>
      <c r="E7" s="66"/>
      <c r="F7" s="66"/>
      <c r="G7" s="66"/>
      <c r="H7" s="66"/>
      <c r="I7" s="66"/>
      <c r="J7" s="86"/>
      <c r="K7" s="86"/>
      <c r="L7" s="86" t="s">
        <v>371</v>
      </c>
      <c r="M7" s="90">
        <f>'Variation Tracking'!H10</f>
        <v>3062311.24</v>
      </c>
      <c r="N7" s="87"/>
    </row>
    <row r="8" spans="1:14" ht="14.25">
      <c r="A8" s="70" t="s">
        <v>365</v>
      </c>
      <c r="B8" s="63" t="str">
        <f>Home!E11</f>
        <v>Dar Al·Handasah Consultants (Shair and Partners)</v>
      </c>
      <c r="C8" s="63"/>
      <c r="D8" s="66"/>
      <c r="E8" s="66"/>
      <c r="F8" s="91"/>
      <c r="G8" s="91"/>
      <c r="H8" s="66"/>
      <c r="I8" s="66"/>
      <c r="J8" s="86"/>
      <c r="K8" s="86"/>
      <c r="L8" s="86" t="s">
        <v>369</v>
      </c>
      <c r="M8" s="90">
        <f>'Variation Tracking'!H11</f>
        <v>9500000</v>
      </c>
      <c r="N8" s="87"/>
    </row>
    <row r="9" spans="1:14" ht="14.25">
      <c r="A9" s="70"/>
      <c r="B9" s="63"/>
      <c r="C9" s="63"/>
      <c r="D9" s="66"/>
      <c r="E9" s="66"/>
      <c r="F9" s="66"/>
      <c r="G9" s="66"/>
      <c r="H9" s="66"/>
      <c r="I9" s="66"/>
      <c r="J9" s="86"/>
      <c r="K9" s="86"/>
      <c r="L9" s="86" t="s">
        <v>370</v>
      </c>
      <c r="M9" s="90">
        <f>'Variation Tracking'!H12</f>
        <v>1051763.81</v>
      </c>
      <c r="N9" s="87"/>
    </row>
    <row r="10" spans="1:14" ht="14.25">
      <c r="A10" s="70"/>
      <c r="B10" s="63"/>
      <c r="C10" s="63"/>
      <c r="D10" s="66"/>
      <c r="E10" s="66"/>
      <c r="F10" s="66"/>
      <c r="G10" s="66"/>
      <c r="H10" s="66"/>
      <c r="I10" s="66"/>
      <c r="J10" s="86"/>
      <c r="K10" s="86"/>
      <c r="L10" s="86" t="s">
        <v>373</v>
      </c>
      <c r="M10" s="90">
        <f>Home!H16</f>
        <v>249794890.28999999</v>
      </c>
      <c r="N10" s="87"/>
    </row>
    <row r="11" spans="1:14" ht="14.25">
      <c r="A11" s="70"/>
      <c r="B11" s="63"/>
      <c r="C11" s="63"/>
      <c r="D11" s="66"/>
      <c r="E11" s="66"/>
      <c r="F11" s="66"/>
      <c r="G11" s="66"/>
      <c r="H11" s="66"/>
      <c r="I11" s="66"/>
      <c r="J11" s="86"/>
      <c r="K11" s="86"/>
      <c r="L11" s="86" t="s">
        <v>359</v>
      </c>
      <c r="M11" s="92">
        <f>Home!E13</f>
        <v>43891</v>
      </c>
      <c r="N11" s="87"/>
    </row>
    <row r="12" spans="1:14" ht="14.25">
      <c r="A12" s="70" t="s">
        <v>366</v>
      </c>
      <c r="B12" s="63" t="str">
        <f>Home!E12</f>
        <v xml:space="preserve"> ABDUL ALI AL AJMI CO</v>
      </c>
      <c r="C12" s="63"/>
      <c r="D12" s="66"/>
      <c r="E12" s="66"/>
      <c r="F12" s="66"/>
      <c r="G12" s="66"/>
      <c r="H12" s="66"/>
      <c r="I12" s="66"/>
      <c r="J12" s="86"/>
      <c r="K12" s="86"/>
      <c r="L12" s="86" t="s">
        <v>360</v>
      </c>
      <c r="M12" s="92">
        <f>Home!H15</f>
        <v>44616</v>
      </c>
      <c r="N12" s="87"/>
    </row>
    <row r="13" spans="1:14" ht="14.25">
      <c r="A13" s="70"/>
      <c r="B13" s="63"/>
      <c r="C13" s="63"/>
      <c r="D13" s="66"/>
      <c r="E13" s="66"/>
      <c r="F13" s="66"/>
      <c r="G13" s="66"/>
      <c r="H13" s="66"/>
      <c r="I13" s="66"/>
      <c r="J13" s="86"/>
      <c r="K13" s="86"/>
      <c r="L13" s="86" t="s">
        <v>361</v>
      </c>
      <c r="M13" s="92">
        <f>Home!H8</f>
        <v>47334</v>
      </c>
      <c r="N13" s="87"/>
    </row>
    <row r="14" spans="1:14" ht="14.25">
      <c r="A14" s="70"/>
      <c r="B14" s="63"/>
      <c r="C14" s="63"/>
      <c r="D14" s="66"/>
      <c r="E14" s="66"/>
      <c r="F14" s="66"/>
      <c r="G14" s="66"/>
      <c r="H14" s="66"/>
      <c r="I14" s="66"/>
      <c r="J14" s="86"/>
      <c r="K14" s="86"/>
      <c r="L14" s="86" t="s">
        <v>362</v>
      </c>
      <c r="M14" s="92">
        <f>Home!H9</f>
        <v>47334</v>
      </c>
      <c r="N14" s="87"/>
    </row>
    <row r="15" spans="1:14" ht="14.25">
      <c r="A15" s="70"/>
      <c r="B15" s="63"/>
      <c r="C15" s="63"/>
      <c r="D15" s="66"/>
      <c r="E15" s="66"/>
      <c r="F15" s="66"/>
      <c r="G15" s="66"/>
      <c r="H15" s="66"/>
      <c r="I15" s="66"/>
      <c r="J15" s="86"/>
      <c r="K15" s="86"/>
      <c r="L15" s="86" t="s">
        <v>363</v>
      </c>
      <c r="M15" s="92">
        <v>46239</v>
      </c>
      <c r="N15" s="87"/>
    </row>
    <row r="16" spans="1:14" ht="19.5" customHeight="1">
      <c r="A16" s="147" t="s">
        <v>307</v>
      </c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</row>
    <row r="17" spans="1:17" ht="17.350000000000001" customHeight="1">
      <c r="A17" s="76"/>
      <c r="B17" s="67"/>
      <c r="C17" s="67"/>
      <c r="D17" s="68"/>
      <c r="E17" s="68"/>
      <c r="F17" s="68"/>
      <c r="G17" s="68"/>
      <c r="H17" s="68"/>
      <c r="I17" s="68"/>
      <c r="J17" s="68"/>
      <c r="K17" s="68"/>
      <c r="L17" s="68"/>
      <c r="M17" s="67"/>
      <c r="N17" s="67"/>
    </row>
    <row r="18" spans="1:17" s="23" customFormat="1" ht="35.25" customHeight="1">
      <c r="A18" s="75" t="s">
        <v>79</v>
      </c>
      <c r="B18" s="75" t="s">
        <v>80</v>
      </c>
      <c r="C18" s="75" t="s">
        <v>57</v>
      </c>
      <c r="D18" s="77" t="s">
        <v>308</v>
      </c>
      <c r="E18" s="77" t="s">
        <v>81</v>
      </c>
      <c r="F18" s="77" t="s">
        <v>309</v>
      </c>
      <c r="G18" s="77" t="s">
        <v>378</v>
      </c>
      <c r="H18" s="77" t="s">
        <v>310</v>
      </c>
      <c r="I18" s="77" t="s">
        <v>379</v>
      </c>
      <c r="J18" s="77" t="s">
        <v>311</v>
      </c>
      <c r="K18" s="77" t="s">
        <v>380</v>
      </c>
      <c r="L18" s="77" t="s">
        <v>312</v>
      </c>
      <c r="M18" s="75" t="s">
        <v>88</v>
      </c>
      <c r="N18" s="79"/>
    </row>
    <row r="19" spans="1:17" ht="15" customHeight="1">
      <c r="A19" s="148" t="s">
        <v>376</v>
      </c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24"/>
      <c r="P19" s="23"/>
      <c r="Q19" s="58"/>
    </row>
    <row r="20" spans="1:17" ht="15" customHeight="1">
      <c r="A20" s="107" t="s">
        <v>258</v>
      </c>
      <c r="B20" s="108" t="s">
        <v>89</v>
      </c>
      <c r="C20" s="107" t="s">
        <v>90</v>
      </c>
      <c r="D20" s="109">
        <v>1027305.25</v>
      </c>
      <c r="E20" s="109">
        <v>5</v>
      </c>
      <c r="F20" s="109">
        <v>5136526.25</v>
      </c>
      <c r="G20" s="109">
        <v>1145103.544</v>
      </c>
      <c r="H20" s="109">
        <v>5725517.7199999997</v>
      </c>
      <c r="I20" s="109">
        <v>0</v>
      </c>
      <c r="J20" s="109">
        <v>0</v>
      </c>
      <c r="K20" s="109">
        <v>1145103.544</v>
      </c>
      <c r="L20" s="109">
        <v>5725517.7199999997</v>
      </c>
      <c r="M20" s="110"/>
      <c r="N20" s="110"/>
      <c r="O20" s="24"/>
      <c r="P20" s="23"/>
      <c r="Q20" s="58"/>
    </row>
    <row r="21" spans="1:17" ht="15" customHeight="1">
      <c r="A21" s="107" t="s">
        <v>259</v>
      </c>
      <c r="B21" s="108" t="s">
        <v>91</v>
      </c>
      <c r="C21" s="107" t="s">
        <v>44</v>
      </c>
      <c r="D21" s="109">
        <v>1528119</v>
      </c>
      <c r="E21" s="109">
        <v>18.3</v>
      </c>
      <c r="F21" s="109">
        <v>27964577.699999999</v>
      </c>
      <c r="G21" s="109">
        <v>561327.30888888799</v>
      </c>
      <c r="H21" s="109">
        <v>10272289.75266665</v>
      </c>
      <c r="I21" s="109">
        <v>0</v>
      </c>
      <c r="J21" s="109">
        <v>0</v>
      </c>
      <c r="K21" s="109">
        <v>561327.30888888799</v>
      </c>
      <c r="L21" s="109">
        <v>10272289.75266665</v>
      </c>
      <c r="M21" s="108"/>
      <c r="N21" s="108"/>
      <c r="O21" s="24"/>
      <c r="P21" s="23"/>
      <c r="Q21" s="58"/>
    </row>
    <row r="22" spans="1:17" ht="15" customHeight="1">
      <c r="A22" s="148" t="s">
        <v>377</v>
      </c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24"/>
      <c r="P22" s="23"/>
      <c r="Q22" s="58"/>
    </row>
    <row r="23" spans="1:17" ht="15" customHeight="1">
      <c r="A23" s="107" t="s">
        <v>243</v>
      </c>
      <c r="B23" s="108" t="s">
        <v>91</v>
      </c>
      <c r="C23" s="107" t="s">
        <v>44</v>
      </c>
      <c r="D23" s="109">
        <v>238000</v>
      </c>
      <c r="E23" s="109">
        <v>10.35</v>
      </c>
      <c r="F23" s="109">
        <v>2463300</v>
      </c>
      <c r="G23" s="109">
        <v>280663.65444444399</v>
      </c>
      <c r="H23" s="109">
        <v>2904868.8234999953</v>
      </c>
      <c r="I23" s="109">
        <v>0</v>
      </c>
      <c r="J23" s="109">
        <v>0</v>
      </c>
      <c r="K23" s="109">
        <v>280663.65444444399</v>
      </c>
      <c r="L23" s="109">
        <v>2904868.8234999953</v>
      </c>
      <c r="M23" s="109"/>
      <c r="N23" s="109"/>
      <c r="O23" s="24"/>
      <c r="P23" s="23"/>
      <c r="Q23" s="58"/>
    </row>
    <row r="24" spans="1:17" ht="15" customHeight="1">
      <c r="A24" s="107" t="s">
        <v>245</v>
      </c>
      <c r="B24" s="108" t="s">
        <v>130</v>
      </c>
      <c r="C24" s="107" t="s">
        <v>44</v>
      </c>
      <c r="D24" s="109">
        <v>727824.4</v>
      </c>
      <c r="E24" s="109">
        <v>18.3</v>
      </c>
      <c r="F24" s="109">
        <v>13319186.520000001</v>
      </c>
      <c r="G24" s="109">
        <v>280663.65444444399</v>
      </c>
      <c r="H24" s="109">
        <v>5136144.8763333252</v>
      </c>
      <c r="I24" s="109">
        <v>0</v>
      </c>
      <c r="J24" s="109">
        <v>0</v>
      </c>
      <c r="K24" s="109">
        <v>280663.65444444399</v>
      </c>
      <c r="L24" s="109">
        <v>5136144.8763333252</v>
      </c>
      <c r="M24" s="108"/>
      <c r="N24" s="108"/>
      <c r="O24" s="24"/>
      <c r="P24" s="23"/>
      <c r="Q24" s="58"/>
    </row>
    <row r="25" spans="1:17" ht="15" customHeight="1">
      <c r="A25" s="107">
        <v>20301</v>
      </c>
      <c r="B25" s="111" t="s">
        <v>91</v>
      </c>
      <c r="C25" s="112" t="s">
        <v>44</v>
      </c>
      <c r="D25" s="113">
        <v>2525972.89</v>
      </c>
      <c r="E25" s="113">
        <v>10.35</v>
      </c>
      <c r="F25" s="113">
        <v>26143819.411499999</v>
      </c>
      <c r="G25" s="113">
        <v>280663.65444444399</v>
      </c>
      <c r="H25" s="113">
        <v>2904868.8234999953</v>
      </c>
      <c r="I25" s="113">
        <v>0</v>
      </c>
      <c r="J25" s="113">
        <v>0</v>
      </c>
      <c r="K25" s="113">
        <v>280663.65444444399</v>
      </c>
      <c r="L25" s="113">
        <v>2904868.8234999953</v>
      </c>
      <c r="M25" s="114"/>
      <c r="N25" s="114"/>
    </row>
    <row r="26" spans="1:17" ht="15" customHeight="1">
      <c r="A26" s="107">
        <v>20501</v>
      </c>
      <c r="B26" s="111" t="s">
        <v>92</v>
      </c>
      <c r="C26" s="112" t="s">
        <v>44</v>
      </c>
      <c r="D26" s="113">
        <v>2324626.0299999998</v>
      </c>
      <c r="E26" s="113">
        <v>14.1</v>
      </c>
      <c r="F26" s="113">
        <v>32777227.022999994</v>
      </c>
      <c r="G26" s="113">
        <v>105664.819545455</v>
      </c>
      <c r="H26" s="113">
        <v>1489873.9555909154</v>
      </c>
      <c r="I26" s="113">
        <v>0</v>
      </c>
      <c r="J26" s="113">
        <v>0</v>
      </c>
      <c r="K26" s="113">
        <v>105664.819545455</v>
      </c>
      <c r="L26" s="113">
        <v>1489873.9555909154</v>
      </c>
      <c r="M26" s="114"/>
      <c r="N26" s="114"/>
      <c r="P26" s="98" t="e">
        <f>L33/F40</f>
        <v>#DIV/0!</v>
      </c>
    </row>
    <row r="27" spans="1:17" s="64" customFormat="1" ht="15" customHeight="1">
      <c r="A27" s="80"/>
      <c r="B27" s="80" t="s">
        <v>313</v>
      </c>
      <c r="C27" s="80"/>
      <c r="D27" s="81"/>
      <c r="E27" s="81"/>
      <c r="F27" s="81">
        <v>107804636.90450001</v>
      </c>
      <c r="G27" s="81"/>
      <c r="H27" s="81">
        <v>28433563.951590948</v>
      </c>
      <c r="I27" s="81"/>
      <c r="J27" s="81">
        <v>0</v>
      </c>
      <c r="K27" s="81"/>
      <c r="L27" s="81">
        <v>28433563.951590948</v>
      </c>
      <c r="M27" s="80"/>
      <c r="N27" s="80"/>
    </row>
    <row r="28" spans="1:17" s="85" customFormat="1" ht="15" customHeight="1">
      <c r="A28" s="82"/>
      <c r="B28" s="83" t="s">
        <v>375</v>
      </c>
      <c r="C28" s="83"/>
      <c r="D28" s="84"/>
      <c r="E28" s="84"/>
      <c r="F28" s="84">
        <v>249794890.28999999</v>
      </c>
      <c r="G28" s="84"/>
      <c r="H28" s="84">
        <v>28433563.951590948</v>
      </c>
      <c r="I28" s="84"/>
      <c r="J28" s="84">
        <v>0</v>
      </c>
      <c r="K28" s="84"/>
      <c r="L28" s="84">
        <v>28433563.951590948</v>
      </c>
      <c r="M28" s="83"/>
      <c r="N28" s="83"/>
    </row>
    <row r="29" spans="1:17" ht="15" customHeight="1">
      <c r="A29" s="119"/>
      <c r="B29" s="119"/>
      <c r="C29" s="119"/>
      <c r="D29" s="126"/>
      <c r="E29" s="126"/>
      <c r="F29" s="126"/>
      <c r="G29" s="126"/>
      <c r="H29" s="126"/>
      <c r="I29" s="126"/>
      <c r="J29" s="126"/>
      <c r="K29" s="126"/>
      <c r="L29" s="126"/>
      <c r="M29" s="119"/>
      <c r="N29" s="119"/>
    </row>
    <row r="30" spans="1:17" ht="15" customHeight="1">
      <c r="A30" s="6"/>
      <c r="B30" s="116"/>
      <c r="C30" s="117"/>
      <c r="D30" s="118"/>
      <c r="E30" s="118"/>
      <c r="F30" s="118"/>
      <c r="G30" s="118"/>
      <c r="H30" s="118"/>
      <c r="I30" s="118"/>
      <c r="J30" s="118"/>
      <c r="K30" s="118"/>
      <c r="L30" s="118"/>
      <c r="M30" s="67"/>
      <c r="N30" s="67"/>
    </row>
    <row r="31" spans="1:17" ht="15" customHeight="1">
      <c r="A31" s="119"/>
      <c r="B31" s="119"/>
      <c r="C31" s="119"/>
      <c r="D31" s="126"/>
      <c r="E31" s="126"/>
      <c r="F31" s="126"/>
      <c r="G31" s="126"/>
      <c r="H31" s="126"/>
      <c r="I31" s="126"/>
      <c r="J31" s="126"/>
      <c r="K31" s="126"/>
      <c r="L31" s="126"/>
      <c r="M31" s="119"/>
      <c r="N31" s="119"/>
    </row>
    <row r="32" spans="1:17" ht="15" customHeight="1">
      <c r="A32" s="6"/>
      <c r="B32" s="116"/>
      <c r="C32" s="117"/>
      <c r="D32" s="118"/>
      <c r="E32" s="118"/>
      <c r="F32" s="118"/>
      <c r="G32" s="118"/>
      <c r="H32" s="118"/>
      <c r="I32" s="118"/>
      <c r="J32" s="118"/>
      <c r="K32" s="118"/>
      <c r="L32" s="118"/>
      <c r="M32" s="67"/>
      <c r="N32" s="67"/>
    </row>
    <row r="33" spans="1:14" s="64" customFormat="1" ht="15" customHeight="1">
      <c r="A33" s="120"/>
      <c r="B33" s="121"/>
      <c r="C33" s="121"/>
      <c r="D33" s="122"/>
      <c r="E33" s="122"/>
      <c r="F33" s="122"/>
      <c r="G33" s="122"/>
      <c r="H33" s="122"/>
      <c r="I33" s="122"/>
      <c r="J33" s="122"/>
      <c r="K33" s="122"/>
      <c r="L33" s="122"/>
      <c r="M33" s="121"/>
      <c r="N33" s="121"/>
    </row>
    <row r="34" spans="1:14" ht="15" customHeight="1">
      <c r="A34" s="119"/>
      <c r="B34" s="119"/>
      <c r="C34" s="119"/>
      <c r="D34" s="126"/>
      <c r="E34" s="126"/>
      <c r="F34" s="126"/>
      <c r="G34" s="126"/>
      <c r="H34" s="126"/>
      <c r="I34" s="126"/>
      <c r="J34" s="126"/>
      <c r="K34" s="126"/>
      <c r="L34" s="126"/>
      <c r="M34" s="119"/>
      <c r="N34" s="119"/>
    </row>
    <row r="35" spans="1:14" ht="15" customHeight="1">
      <c r="A35" s="6"/>
      <c r="B35" s="116"/>
      <c r="C35" s="117"/>
      <c r="D35" s="118"/>
      <c r="E35" s="118"/>
      <c r="F35" s="118"/>
      <c r="G35" s="118"/>
      <c r="H35" s="118"/>
      <c r="I35" s="118"/>
      <c r="J35" s="118"/>
      <c r="K35" s="118"/>
      <c r="L35" s="118"/>
      <c r="M35" s="67"/>
      <c r="N35" s="67"/>
    </row>
    <row r="36" spans="1:14" ht="15" customHeight="1">
      <c r="A36" s="119"/>
      <c r="B36" s="119"/>
      <c r="C36" s="119"/>
      <c r="D36" s="126"/>
      <c r="E36" s="126"/>
      <c r="F36" s="126"/>
      <c r="G36" s="126"/>
      <c r="H36" s="126"/>
      <c r="I36" s="126"/>
      <c r="J36" s="126"/>
      <c r="K36" s="126"/>
      <c r="L36" s="126"/>
      <c r="M36" s="119"/>
      <c r="N36" s="119"/>
    </row>
    <row r="37" spans="1:14" ht="15" customHeight="1">
      <c r="A37" s="6"/>
      <c r="B37" s="116"/>
      <c r="C37" s="117"/>
      <c r="D37" s="118"/>
      <c r="E37" s="118"/>
      <c r="F37" s="118"/>
      <c r="G37" s="118"/>
      <c r="H37" s="118"/>
      <c r="I37" s="118"/>
      <c r="J37" s="118"/>
      <c r="K37" s="118"/>
      <c r="L37" s="118"/>
      <c r="M37" s="67"/>
      <c r="N37" s="67"/>
    </row>
    <row r="38" spans="1:14" ht="15" customHeight="1">
      <c r="A38" s="6"/>
      <c r="B38" s="116"/>
      <c r="C38" s="117"/>
      <c r="D38" s="118"/>
      <c r="E38" s="118"/>
      <c r="F38" s="118"/>
      <c r="G38" s="118"/>
      <c r="H38" s="118"/>
      <c r="I38" s="118"/>
      <c r="J38" s="118"/>
      <c r="K38" s="118"/>
      <c r="L38" s="118"/>
      <c r="M38" s="67"/>
      <c r="N38" s="67"/>
    </row>
    <row r="39" spans="1:14" s="64" customFormat="1" ht="15" customHeight="1">
      <c r="A39" s="120"/>
      <c r="B39" s="120"/>
      <c r="C39" s="120"/>
      <c r="D39" s="123"/>
      <c r="E39" s="123"/>
      <c r="F39" s="123"/>
      <c r="G39" s="123"/>
      <c r="H39" s="123"/>
      <c r="I39" s="123"/>
      <c r="J39" s="123"/>
      <c r="K39" s="123"/>
      <c r="L39" s="123"/>
      <c r="M39" s="120"/>
      <c r="N39" s="120"/>
    </row>
    <row r="40" spans="1:14" s="85" customFormat="1" ht="15" customHeight="1">
      <c r="A40" s="120"/>
      <c r="B40" s="121"/>
      <c r="C40" s="121"/>
      <c r="D40" s="122"/>
      <c r="E40" s="122"/>
      <c r="F40" s="122"/>
      <c r="G40" s="122"/>
      <c r="H40" s="122"/>
      <c r="I40" s="122"/>
      <c r="J40" s="122"/>
      <c r="K40" s="122"/>
      <c r="L40" s="122"/>
      <c r="M40" s="121"/>
      <c r="N40" s="121"/>
    </row>
    <row r="41" spans="1:14" ht="15" customHeight="1">
      <c r="A41" s="30"/>
      <c r="B41" s="30"/>
      <c r="C41" s="30"/>
      <c r="D41" s="124"/>
      <c r="E41" s="124"/>
      <c r="F41" s="124"/>
      <c r="G41" s="124"/>
      <c r="H41" s="124"/>
      <c r="I41" s="124"/>
      <c r="J41" s="124"/>
      <c r="K41" s="124"/>
      <c r="L41" s="124"/>
      <c r="M41" s="30"/>
      <c r="N41" s="30"/>
    </row>
    <row r="42" spans="1:14" ht="15" customHeight="1">
      <c r="A42" s="76"/>
      <c r="B42" s="67"/>
      <c r="C42" s="67"/>
      <c r="D42" s="68"/>
      <c r="E42" s="68"/>
      <c r="F42" s="68"/>
      <c r="G42" s="68"/>
      <c r="H42" s="68"/>
      <c r="I42" s="68"/>
      <c r="J42" s="68"/>
      <c r="K42" s="68"/>
      <c r="L42" s="68"/>
      <c r="M42" s="67"/>
      <c r="N42" s="67"/>
    </row>
    <row r="43" spans="1:14" ht="15" customHeight="1">
      <c r="A43" s="76"/>
      <c r="B43" s="67"/>
      <c r="C43" s="67"/>
      <c r="D43" s="68"/>
      <c r="E43" s="68"/>
      <c r="F43" s="68"/>
      <c r="G43" s="68"/>
      <c r="H43" s="68"/>
      <c r="I43" s="68"/>
      <c r="J43" s="68"/>
      <c r="K43" s="68"/>
      <c r="L43" s="68"/>
      <c r="M43" s="67"/>
      <c r="N43" s="67"/>
    </row>
    <row r="44" spans="1:14" ht="15" customHeight="1">
      <c r="A44" s="115"/>
      <c r="B44" s="29"/>
      <c r="C44" s="29"/>
      <c r="D44" s="125"/>
      <c r="E44" s="125"/>
      <c r="F44" s="125"/>
      <c r="G44" s="125"/>
      <c r="H44" s="125"/>
      <c r="I44" s="125"/>
      <c r="J44" s="125"/>
      <c r="K44" s="125"/>
      <c r="L44" s="125"/>
      <c r="M44" s="29"/>
      <c r="N44" s="29"/>
    </row>
    <row r="45" spans="1:14" ht="15" customHeight="1">
      <c r="A45" s="76"/>
      <c r="B45" s="67"/>
      <c r="C45" s="67"/>
      <c r="D45" s="68"/>
      <c r="E45" s="68"/>
      <c r="F45" s="68"/>
      <c r="G45" s="68"/>
      <c r="H45" s="68"/>
      <c r="I45" s="68"/>
      <c r="J45" s="68"/>
      <c r="K45" s="68"/>
      <c r="L45" s="68"/>
      <c r="M45" s="67"/>
      <c r="N45" s="67"/>
    </row>
    <row r="46" spans="1:14" ht="15" customHeight="1">
      <c r="A46" s="76"/>
      <c r="B46" s="67"/>
      <c r="C46" s="67"/>
      <c r="D46" s="68"/>
      <c r="E46" s="68"/>
      <c r="F46" s="68"/>
      <c r="G46" s="68"/>
      <c r="H46" s="68"/>
      <c r="I46" s="68"/>
      <c r="J46" s="68"/>
      <c r="K46" s="68"/>
      <c r="L46" s="68"/>
      <c r="M46" s="67"/>
      <c r="N46" s="67"/>
    </row>
    <row r="47" spans="1:14" ht="15" customHeight="1">
      <c r="A47" s="76"/>
      <c r="B47" s="67"/>
      <c r="C47" s="67"/>
      <c r="D47" s="68"/>
      <c r="E47" s="68"/>
      <c r="F47" s="68"/>
      <c r="G47" s="68"/>
      <c r="H47" s="68"/>
      <c r="I47" s="68"/>
      <c r="J47" s="68"/>
      <c r="K47" s="68"/>
      <c r="L47" s="68"/>
      <c r="M47" s="67"/>
      <c r="N47" s="67"/>
    </row>
    <row r="48" spans="1:14" ht="15" customHeight="1">
      <c r="A48" s="76"/>
      <c r="B48" s="67"/>
      <c r="C48" s="67"/>
      <c r="D48" s="68"/>
      <c r="E48" s="68"/>
      <c r="F48" s="68"/>
      <c r="G48" s="68"/>
      <c r="H48" s="68"/>
      <c r="I48" s="68"/>
      <c r="J48" s="68"/>
      <c r="K48" s="68"/>
      <c r="L48" s="68"/>
      <c r="M48" s="67"/>
      <c r="N48" s="67"/>
    </row>
    <row r="49" spans="1:14" ht="15" customHeight="1">
      <c r="A49" s="76"/>
      <c r="B49" s="67"/>
      <c r="C49" s="67"/>
      <c r="D49" s="68"/>
      <c r="E49" s="68"/>
      <c r="F49" s="68"/>
      <c r="G49" s="68"/>
      <c r="H49" s="68"/>
      <c r="I49" s="68"/>
      <c r="J49" s="68"/>
      <c r="K49" s="68"/>
      <c r="L49" s="68"/>
      <c r="M49" s="67"/>
      <c r="N49" s="67"/>
    </row>
    <row r="50" spans="1:14" ht="15" customHeight="1">
      <c r="A50" s="76"/>
      <c r="B50" s="67"/>
      <c r="C50" s="67"/>
      <c r="D50" s="68"/>
      <c r="E50" s="68"/>
      <c r="F50" s="68"/>
      <c r="G50" s="68"/>
      <c r="H50" s="68"/>
      <c r="I50" s="68"/>
      <c r="J50" s="68"/>
      <c r="K50" s="68"/>
      <c r="L50" s="68"/>
      <c r="M50" s="67"/>
      <c r="N50" s="67"/>
    </row>
  </sheetData>
  <mergeCells count="3">
    <mergeCell ref="A16:N16"/>
    <mergeCell ref="A19:N19"/>
    <mergeCell ref="A22:N22"/>
  </mergeCells>
  <pageMargins left="0.25" right="0.25" top="0.25" bottom="0.25" header="0.2" footer="1.3"/>
  <pageSetup paperSize="9" scale="68" fitToHeight="0" orientation="landscape" r:id="rId1"/>
  <headerFooter>
    <oddFooter>&amp;LOwner:  Qiddiya Investment Company&amp;CConsultant: Dar Al·Handasah Consultants (Shair and Partners)&amp;RContractor:  ABDUL ALI AL AJMI 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59</vt:i4>
      </vt:variant>
    </vt:vector>
  </HeadingPairs>
  <TitlesOfParts>
    <vt:vector size="75" baseType="lpstr">
      <vt:lpstr>Home</vt:lpstr>
      <vt:lpstr>Dashboard</vt:lpstr>
      <vt:lpstr>BOQ</vt:lpstr>
      <vt:lpstr>WIR Tracking</vt:lpstr>
      <vt:lpstr>Client IPC Creation</vt:lpstr>
      <vt:lpstr>Subcontractor IPC Creation</vt:lpstr>
      <vt:lpstr>Client IPC Tracking</vt:lpstr>
      <vt:lpstr>Subcontractor IPC Tracking</vt:lpstr>
      <vt:lpstr>Variation Tracking</vt:lpstr>
      <vt:lpstr>Project Documents Creation</vt:lpstr>
      <vt:lpstr>Risk Register</vt:lpstr>
      <vt:lpstr>Issue Log</vt:lpstr>
      <vt:lpstr>Quality Metrics</vt:lpstr>
      <vt:lpstr>Cost Metrics</vt:lpstr>
      <vt:lpstr>BOQ_Schedule_Mapping</vt:lpstr>
      <vt:lpstr>Print_IPC_Report</vt:lpstr>
      <vt:lpstr>BOQ_Desc</vt:lpstr>
      <vt:lpstr>BOQ_Item</vt:lpstr>
      <vt:lpstr>BOQ_Qty</vt:lpstr>
      <vt:lpstr>BOQ_Rate</vt:lpstr>
      <vt:lpstr>BOQ_Unit</vt:lpstr>
      <vt:lpstr>BOQ!Print_Area</vt:lpstr>
      <vt:lpstr>'Client IPC Creation'!Print_Area</vt:lpstr>
      <vt:lpstr>'Client IPC Tracking'!Print_Area</vt:lpstr>
      <vt:lpstr>'Cost Metrics'!Print_Area</vt:lpstr>
      <vt:lpstr>Dashboard!Print_Area</vt:lpstr>
      <vt:lpstr>Home!Print_Area</vt:lpstr>
      <vt:lpstr>'Issue Log'!Print_Area</vt:lpstr>
      <vt:lpstr>Print_IPC_Report!Print_Area</vt:lpstr>
      <vt:lpstr>'Project Documents Creation'!Print_Area</vt:lpstr>
      <vt:lpstr>'Quality Metrics'!Print_Area</vt:lpstr>
      <vt:lpstr>'Risk Register'!Print_Area</vt:lpstr>
      <vt:lpstr>'Subcontractor IPC Creation'!Print_Area</vt:lpstr>
      <vt:lpstr>'Subcontractor IPC Tracking'!Print_Area</vt:lpstr>
      <vt:lpstr>'Variation Tracking'!Print_Area</vt:lpstr>
      <vt:lpstr>'WIR Tracking'!Print_Area</vt:lpstr>
      <vt:lpstr>BOQ!Print_Titles</vt:lpstr>
      <vt:lpstr>Print_IPC_Report!Print_Titles</vt:lpstr>
      <vt:lpstr>'WIR Tracking'!Print_Titles</vt:lpstr>
      <vt:lpstr>T4_AmtCtr</vt:lpstr>
      <vt:lpstr>T4_CtrQty</vt:lpstr>
      <vt:lpstr>T4_CurrPct</vt:lpstr>
      <vt:lpstr>T4_CurrPrice</vt:lpstr>
      <vt:lpstr>T4_CurrQty</vt:lpstr>
      <vt:lpstr>T4_Desc</vt:lpstr>
      <vt:lpstr>T4_Item</vt:lpstr>
      <vt:lpstr>T4_PrevPct</vt:lpstr>
      <vt:lpstr>T4_PrevPrice</vt:lpstr>
      <vt:lpstr>T4_PrevQty</vt:lpstr>
      <vt:lpstr>T4_Rate</vt:lpstr>
      <vt:lpstr>T4_TotPct</vt:lpstr>
      <vt:lpstr>T4_TotPrice</vt:lpstr>
      <vt:lpstr>T4_TotQty</vt:lpstr>
      <vt:lpstr>T4_Unit</vt:lpstr>
      <vt:lpstr>T4_VO</vt:lpstr>
      <vt:lpstr>Track_CreationDate</vt:lpstr>
      <vt:lpstr>Track_CurrAmt</vt:lpstr>
      <vt:lpstr>Track_CurrPct</vt:lpstr>
      <vt:lpstr>Track_FilePath</vt:lpstr>
      <vt:lpstr>Track_FinishDate</vt:lpstr>
      <vt:lpstr>Track_IPC_No</vt:lpstr>
      <vt:lpstr>Track_Link</vt:lpstr>
      <vt:lpstr>Track_PrevAmt</vt:lpstr>
      <vt:lpstr>Track_PrevPct</vt:lpstr>
      <vt:lpstr>Track_StartDate</vt:lpstr>
      <vt:lpstr>Track_TotAmt</vt:lpstr>
      <vt:lpstr>Track_TotPct</vt:lpstr>
      <vt:lpstr>WIR_BOQ</vt:lpstr>
      <vt:lpstr>WIR_Case</vt:lpstr>
      <vt:lpstr>WIR_Company</vt:lpstr>
      <vt:lpstr>WIR_CompType</vt:lpstr>
      <vt:lpstr>WIR_Date</vt:lpstr>
      <vt:lpstr>WIR_QS</vt:lpstr>
      <vt:lpstr>WIR_Status</vt:lpstr>
      <vt:lpstr>WIR_VO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Mohamed ELkhabery</cp:lastModifiedBy>
  <cp:lastPrinted>2026-08-06T15:24:36Z</cp:lastPrinted>
  <dcterms:created xsi:type="dcterms:W3CDTF">2026-08-01T13:03:37Z</dcterms:created>
  <dcterms:modified xsi:type="dcterms:W3CDTF">2026-08-07T06:53:33Z</dcterms:modified>
</cp:coreProperties>
</file>